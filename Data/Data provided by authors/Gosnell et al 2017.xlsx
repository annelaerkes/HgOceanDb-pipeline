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nesore\Dropbox\SU_170821\NRM\Claude_HgOceanDb_project\HgOceanDb-pipeline\Data\Data provided by authors\"/>
    </mc:Choice>
  </mc:AlternateContent>
  <xr:revisionPtr revIDLastSave="0" documentId="13_ncr:1_{22E9B710-1D6D-4B3A-9942-911DEB5175DC}" xr6:coauthVersionLast="47" xr6:coauthVersionMax="47" xr10:uidLastSave="{00000000-0000-0000-0000-000000000000}"/>
  <bookViews>
    <workbookView xWindow="4995" yWindow="4455" windowWidth="21600" windowHeight="12645" activeTab="1" xr2:uid="{00000000-000D-0000-FFFF-FFFF00000000}"/>
  </bookViews>
  <sheets>
    <sheet name="publication" sheetId="3" r:id="rId1"/>
    <sheet name="original" sheetId="1" r:id="rId2"/>
    <sheet name="modified_al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4" i="2" l="1"/>
  <c r="L9" i="2"/>
  <c r="L12" i="2"/>
  <c r="L25" i="2"/>
  <c r="L29" i="2"/>
  <c r="L34" i="2"/>
  <c r="L48" i="2"/>
  <c r="L52" i="2"/>
  <c r="H9" i="2"/>
  <c r="H16" i="2"/>
  <c r="H25" i="2"/>
  <c r="H34" i="2"/>
  <c r="H44" i="2"/>
  <c r="H56" i="2"/>
  <c r="H60" i="2"/>
  <c r="H68" i="2"/>
  <c r="H72" i="2"/>
  <c r="K78" i="2"/>
  <c r="J78" i="2"/>
  <c r="L78" i="2" s="1"/>
  <c r="G78" i="2"/>
  <c r="F78" i="2"/>
  <c r="H78" i="2" s="1"/>
  <c r="K74" i="2"/>
  <c r="M74" i="2" s="1"/>
  <c r="I72" i="2"/>
  <c r="K70" i="2"/>
  <c r="M70" i="2" s="1"/>
  <c r="I68" i="2"/>
  <c r="G66" i="2"/>
  <c r="F66" i="2"/>
  <c r="H66" i="2" s="1"/>
  <c r="M64" i="2"/>
  <c r="K62" i="2"/>
  <c r="M62" i="2" s="1"/>
  <c r="J62" i="2"/>
  <c r="L62" i="2" s="1"/>
  <c r="I60" i="2"/>
  <c r="K58" i="2"/>
  <c r="J58" i="2"/>
  <c r="I56" i="2"/>
  <c r="G54" i="2"/>
  <c r="I54" i="2" s="1"/>
  <c r="F54" i="2"/>
  <c r="M52" i="2"/>
  <c r="G50" i="2"/>
  <c r="I50" i="2" s="1"/>
  <c r="F50" i="2"/>
  <c r="M48" i="2"/>
  <c r="K46" i="2"/>
  <c r="M46" i="2" s="1"/>
  <c r="J46" i="2"/>
  <c r="I44" i="2"/>
  <c r="K40" i="2"/>
  <c r="M40" i="2" s="1"/>
  <c r="G40" i="2"/>
  <c r="F40" i="2"/>
  <c r="H40" i="2" s="1"/>
  <c r="M34" i="2"/>
  <c r="I34" i="2"/>
  <c r="G31" i="2"/>
  <c r="I31" i="2" s="1"/>
  <c r="F31" i="2"/>
  <c r="M29" i="2"/>
  <c r="M25" i="2"/>
  <c r="I25" i="2"/>
  <c r="K22" i="2"/>
  <c r="M22" i="2" s="1"/>
  <c r="J22" i="2"/>
  <c r="I22" i="2"/>
  <c r="F22" i="2"/>
  <c r="H22" i="2" s="1"/>
  <c r="K18" i="2"/>
  <c r="M18" i="2" s="1"/>
  <c r="J18" i="2"/>
  <c r="L18" i="2" s="1"/>
  <c r="I16" i="2"/>
  <c r="G14" i="2"/>
  <c r="H14" i="2" s="1"/>
  <c r="M12" i="2"/>
  <c r="M9" i="2"/>
  <c r="I9" i="2"/>
  <c r="G22" i="1"/>
  <c r="L9" i="1"/>
  <c r="S9" i="1"/>
  <c r="L40" i="2" l="1"/>
  <c r="L46" i="2"/>
  <c r="L58" i="2"/>
  <c r="L74" i="2"/>
  <c r="L22" i="2"/>
  <c r="H50" i="2"/>
  <c r="H54" i="2"/>
  <c r="L70" i="2"/>
  <c r="H31" i="2"/>
  <c r="M78" i="2"/>
  <c r="I40" i="2"/>
  <c r="I66" i="2"/>
  <c r="I14" i="2"/>
  <c r="M58" i="2"/>
  <c r="I78" i="2"/>
  <c r="U58" i="1"/>
  <c r="U54" i="1"/>
  <c r="U46" i="1"/>
  <c r="N78" i="1"/>
  <c r="O78" i="1"/>
  <c r="O74" i="1"/>
  <c r="Q74" i="1" s="1"/>
  <c r="O70" i="1"/>
  <c r="Q70" i="1" s="1"/>
  <c r="Q64" i="1"/>
  <c r="R65" i="1" s="1"/>
  <c r="P64" i="1"/>
  <c r="N62" i="1"/>
  <c r="U62" i="1" s="1"/>
  <c r="O62" i="1"/>
  <c r="Q62" i="1" s="1"/>
  <c r="O58" i="1"/>
  <c r="N58" i="1"/>
  <c r="S52" i="1"/>
  <c r="Q52" i="1"/>
  <c r="R52" i="1" s="1"/>
  <c r="P52" i="1"/>
  <c r="O46" i="1"/>
  <c r="P48" i="1"/>
  <c r="Q48" i="1"/>
  <c r="R49" i="1" s="1"/>
  <c r="N46" i="1"/>
  <c r="P46" i="1" s="1"/>
  <c r="H78" i="1"/>
  <c r="G78" i="1"/>
  <c r="L72" i="1"/>
  <c r="J72" i="1"/>
  <c r="K72" i="1" s="1"/>
  <c r="I72" i="1"/>
  <c r="L68" i="1"/>
  <c r="J68" i="1"/>
  <c r="K68" i="1" s="1"/>
  <c r="I68" i="1"/>
  <c r="G66" i="1"/>
  <c r="H66" i="1"/>
  <c r="J66" i="1" s="1"/>
  <c r="L60" i="1"/>
  <c r="J60" i="1"/>
  <c r="K60" i="1" s="1"/>
  <c r="I60" i="1"/>
  <c r="I56" i="1"/>
  <c r="L56" i="1"/>
  <c r="J56" i="1"/>
  <c r="K56" i="1" s="1"/>
  <c r="H54" i="1"/>
  <c r="G54" i="1"/>
  <c r="H50" i="1"/>
  <c r="J50" i="1" s="1"/>
  <c r="G50" i="1"/>
  <c r="I50" i="1" s="1"/>
  <c r="L44" i="1"/>
  <c r="J44" i="1"/>
  <c r="K44" i="1" s="1"/>
  <c r="I44" i="1"/>
  <c r="U36" i="1"/>
  <c r="U31" i="1"/>
  <c r="U22" i="1"/>
  <c r="S58" i="1" l="1"/>
  <c r="V62" i="1"/>
  <c r="P78" i="1"/>
  <c r="S46" i="1"/>
  <c r="R75" i="1"/>
  <c r="V74" i="1"/>
  <c r="K50" i="1"/>
  <c r="L54" i="1"/>
  <c r="I78" i="1"/>
  <c r="P70" i="1"/>
  <c r="U78" i="1"/>
  <c r="R71" i="1"/>
  <c r="V70" i="1"/>
  <c r="J78" i="1"/>
  <c r="K78" i="1" s="1"/>
  <c r="P62" i="1"/>
  <c r="V66" i="1"/>
  <c r="I54" i="1"/>
  <c r="L78" i="1"/>
  <c r="P58" i="1"/>
  <c r="S78" i="1"/>
  <c r="V50" i="1"/>
  <c r="Q78" i="1"/>
  <c r="P74" i="1"/>
  <c r="R62" i="1"/>
  <c r="S62" i="1"/>
  <c r="Q58" i="1"/>
  <c r="Q46" i="1"/>
  <c r="K66" i="1"/>
  <c r="I66" i="1"/>
  <c r="L66" i="1"/>
  <c r="J54" i="1"/>
  <c r="K54" i="1" s="1"/>
  <c r="L50" i="1"/>
  <c r="U14" i="1"/>
  <c r="S34" i="1"/>
  <c r="S29" i="1"/>
  <c r="Q34" i="1"/>
  <c r="Q29" i="1"/>
  <c r="Q25" i="1"/>
  <c r="P34" i="1"/>
  <c r="P29" i="1"/>
  <c r="O40" i="1"/>
  <c r="Q40" i="1" s="1"/>
  <c r="R41" i="1" s="1"/>
  <c r="P25" i="1"/>
  <c r="R78" i="1" l="1"/>
  <c r="V78" i="1"/>
  <c r="R26" i="1"/>
  <c r="R46" i="1"/>
  <c r="V46" i="1"/>
  <c r="R29" i="1"/>
  <c r="V54" i="1"/>
  <c r="R58" i="1"/>
  <c r="V58" i="1"/>
  <c r="R34" i="1"/>
  <c r="P40" i="1"/>
  <c r="L25" i="1"/>
  <c r="L34" i="1"/>
  <c r="J34" i="1"/>
  <c r="V36" i="1" s="1"/>
  <c r="J25" i="1"/>
  <c r="K25" i="1" s="1"/>
  <c r="J16" i="1"/>
  <c r="H40" i="1"/>
  <c r="J40" i="1" s="1"/>
  <c r="G40" i="1"/>
  <c r="I40" i="1" s="1"/>
  <c r="I34" i="1"/>
  <c r="I25" i="1"/>
  <c r="H31" i="1"/>
  <c r="J31" i="1" s="1"/>
  <c r="V31" i="1" s="1"/>
  <c r="G31" i="1"/>
  <c r="I31" i="1" s="1"/>
  <c r="U11" i="1"/>
  <c r="N22" i="1"/>
  <c r="N18" i="1"/>
  <c r="P18" i="1" s="1"/>
  <c r="O18" i="1"/>
  <c r="Q18" i="1" s="1"/>
  <c r="J22" i="1"/>
  <c r="I22" i="1"/>
  <c r="H14" i="1"/>
  <c r="I14" i="1" s="1"/>
  <c r="L16" i="1"/>
  <c r="V18" i="1" l="1"/>
  <c r="K34" i="1"/>
  <c r="K22" i="1"/>
  <c r="V27" i="1"/>
  <c r="V40" i="1"/>
  <c r="K40" i="1"/>
  <c r="K31" i="1"/>
  <c r="L31" i="1"/>
  <c r="L40" i="1"/>
  <c r="S18" i="1"/>
  <c r="R18" i="1"/>
  <c r="U18" i="1"/>
  <c r="Q12" i="1"/>
  <c r="R12" i="1" s="1"/>
  <c r="Q9" i="1"/>
  <c r="P12" i="1"/>
  <c r="P9" i="1"/>
  <c r="O22" i="1"/>
  <c r="R9" i="1" l="1"/>
  <c r="Q22" i="1"/>
  <c r="V22" i="1" s="1"/>
  <c r="S22" i="1"/>
  <c r="P22" i="1"/>
  <c r="L14" i="1"/>
  <c r="I16" i="1"/>
  <c r="I9" i="1"/>
  <c r="R22" i="1" l="1"/>
  <c r="J14" i="1"/>
  <c r="V14" i="1" s="1"/>
  <c r="L22" i="1"/>
  <c r="K16" i="1"/>
  <c r="J9" i="1"/>
  <c r="K9" i="1" l="1"/>
  <c r="V11" i="1"/>
  <c r="K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ALS</author>
  </authors>
  <commentList>
    <comment ref="N5" authorId="0" shapeId="0" xr:uid="{F69D07B1-F07E-4C71-BCF6-008F4B6CE866}">
      <text>
        <r>
          <rPr>
            <b/>
            <sz val="9"/>
            <color indexed="81"/>
            <rFont val="Tahoma"/>
            <charset val="1"/>
          </rPr>
          <t>ALS:</t>
        </r>
        <r>
          <rPr>
            <sz val="9"/>
            <color indexed="81"/>
            <rFont val="Tahoma"/>
            <charset val="1"/>
          </rPr>
          <t xml:space="preserve">
extracted rfom map in paper</t>
        </r>
      </text>
    </comment>
    <comment ref="J64" authorId="0" shapeId="0" xr:uid="{578E68D7-0862-40F9-B77D-AE855BDAF066}">
      <text>
        <r>
          <rPr>
            <b/>
            <sz val="9"/>
            <color indexed="81"/>
            <rFont val="Tahoma"/>
            <family val="2"/>
          </rPr>
          <t>ALS:</t>
        </r>
        <r>
          <rPr>
            <sz val="9"/>
            <color indexed="81"/>
            <rFont val="Tahoma"/>
            <family val="2"/>
          </rPr>
          <t xml:space="preserve">
Looks like HGT value was put here</t>
        </r>
      </text>
    </comment>
    <comment ref="J70" authorId="0" shapeId="0" xr:uid="{F862A457-28DE-4C40-A00C-3C39EBAAE616}">
      <text>
        <r>
          <rPr>
            <b/>
            <sz val="9"/>
            <color indexed="81"/>
            <rFont val="Tahoma"/>
            <family val="2"/>
          </rPr>
          <t>ALS:</t>
        </r>
        <r>
          <rPr>
            <sz val="9"/>
            <color indexed="81"/>
            <rFont val="Tahoma"/>
            <family val="2"/>
          </rPr>
          <t xml:space="preserve">
Looks like HGT value was put here</t>
        </r>
      </text>
    </comment>
  </commentList>
</comments>
</file>

<file path=xl/sharedStrings.xml><?xml version="1.0" encoding="utf-8"?>
<sst xmlns="http://schemas.openxmlformats.org/spreadsheetml/2006/main" count="166" uniqueCount="55">
  <si>
    <t>surface water</t>
  </si>
  <si>
    <t xml:space="preserve"> </t>
  </si>
  <si>
    <t>(ave of dup. filts.)</t>
  </si>
  <si>
    <t>diss.</t>
  </si>
  <si>
    <t>part.</t>
  </si>
  <si>
    <t>total</t>
  </si>
  <si>
    <t>log Kd</t>
  </si>
  <si>
    <t>% particulate</t>
  </si>
  <si>
    <t>Chlorophyll</t>
  </si>
  <si>
    <t>phaeopigment</t>
  </si>
  <si>
    <t>DOC</t>
  </si>
  <si>
    <t>nitrate</t>
  </si>
  <si>
    <t>Location</t>
  </si>
  <si>
    <t>Date</t>
  </si>
  <si>
    <t>TSS (mg/L)</t>
  </si>
  <si>
    <t>HgT (pM)</t>
  </si>
  <si>
    <t>HgT (nmol/g)</t>
  </si>
  <si>
    <t>HgT (L/kg)</t>
  </si>
  <si>
    <t>HgT</t>
  </si>
  <si>
    <t>MeHg (pM)</t>
  </si>
  <si>
    <t>MeHg (pmol/g)</t>
  </si>
  <si>
    <t>MeHg (L/kg)</t>
  </si>
  <si>
    <t>MeHg</t>
  </si>
  <si>
    <t>MeHg/HgT (%)</t>
  </si>
  <si>
    <r>
      <t>(</t>
    </r>
    <r>
      <rPr>
        <b/>
        <sz val="10"/>
        <rFont val="Arial"/>
        <family val="2"/>
      </rPr>
      <t>µ</t>
    </r>
    <r>
      <rPr>
        <b/>
        <sz val="10"/>
        <rFont val="Arial"/>
        <family val="2"/>
      </rPr>
      <t>g/L)</t>
    </r>
  </si>
  <si>
    <t>(ug/L)</t>
  </si>
  <si>
    <t>(µM)</t>
  </si>
  <si>
    <t>ELIS 2</t>
  </si>
  <si>
    <t>WLIS 2</t>
  </si>
  <si>
    <t>CLIS 1</t>
  </si>
  <si>
    <t>Mid-shelf 2</t>
  </si>
  <si>
    <t>Shelf break</t>
  </si>
  <si>
    <t>LIS-Shelf water samples - spring/summer 2014</t>
  </si>
  <si>
    <t>Sept 2014</t>
  </si>
  <si>
    <t>May 2014</t>
  </si>
  <si>
    <t>ELIS 5</t>
  </si>
  <si>
    <t xml:space="preserve">ELIS 5 </t>
  </si>
  <si>
    <t>Depth (m)</t>
  </si>
  <si>
    <t>Aug 2014</t>
  </si>
  <si>
    <t>WLIS</t>
  </si>
  <si>
    <t>analysis</t>
  </si>
  <si>
    <t>nd</t>
  </si>
  <si>
    <t>--</t>
  </si>
  <si>
    <t>HgT_D (pM)</t>
  </si>
  <si>
    <t>HgT_P (pM)</t>
  </si>
  <si>
    <t>HgT_T (pM)</t>
  </si>
  <si>
    <t>HgT_P (nmol/g)</t>
  </si>
  <si>
    <t>MeHg_D (pM)</t>
  </si>
  <si>
    <t>MeHg_P (pM)</t>
  </si>
  <si>
    <t>MeHg_T (pM)</t>
  </si>
  <si>
    <t>MeHg_P (pmol/g)</t>
  </si>
  <si>
    <t>LATITUDE</t>
  </si>
  <si>
    <t>LONGITUDE</t>
  </si>
  <si>
    <t>NA</t>
  </si>
  <si>
    <t>publication: https://aslopubs.onlinelibrary.wiley.com/doi/epdf/10.1002/lno.10490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</si>
</sst>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%"/>
    <numFmt numFmtId="167" formatCode="0.0000"/>
  </numFmts>
  <fonts count="23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MS Sans Serif"/>
    </font>
    <font>
      <sz val="10"/>
      <color indexed="8"/>
      <name val="Tahoma"/>
      <family val="2"/>
    </font>
    <font>
      <sz val="11"/>
      <color rgb="FF000000"/>
      <name val="Arial"/>
      <family val="2"/>
    </font>
    <font>
      <sz val="8"/>
      <color indexed="8"/>
      <name val="Tahoma"/>
      <family val="2"/>
    </font>
    <font>
      <b/>
      <sz val="8"/>
      <name val="MS Sans Serif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Border="1"/>
    <xf numFmtId="164" fontId="0" fillId="0" borderId="0" xfId="0" applyNumberForma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Border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2" fontId="10" fillId="0" borderId="0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165" fontId="5" fillId="0" borderId="0" xfId="0" applyNumberFormat="1" applyFont="1" applyBorder="1" applyAlignment="1">
      <alignment horizontal="center"/>
    </xf>
    <xf numFmtId="0" fontId="5" fillId="0" borderId="0" xfId="0" quotePrefix="1" applyFont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9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 vertical="top" wrapText="1"/>
    </xf>
    <xf numFmtId="164" fontId="5" fillId="0" borderId="0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/>
    </xf>
    <xf numFmtId="17" fontId="13" fillId="0" borderId="0" xfId="0" quotePrefix="1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49" fontId="14" fillId="0" borderId="0" xfId="0" applyNumberFormat="1" applyFont="1" applyFill="1" applyBorder="1" applyAlignment="1" applyProtection="1">
      <alignment vertical="center"/>
    </xf>
    <xf numFmtId="0" fontId="5" fillId="0" borderId="1" xfId="0" applyFont="1" applyBorder="1" applyAlignment="1">
      <alignment horizontal="center"/>
    </xf>
    <xf numFmtId="49" fontId="14" fillId="0" borderId="1" xfId="0" applyNumberFormat="1" applyFont="1" applyFill="1" applyBorder="1" applyAlignment="1" applyProtection="1">
      <alignment vertical="center"/>
    </xf>
    <xf numFmtId="164" fontId="15" fillId="0" borderId="0" xfId="0" applyNumberFormat="1" applyFont="1" applyAlignment="1">
      <alignment vertical="center"/>
    </xf>
    <xf numFmtId="164" fontId="15" fillId="0" borderId="1" xfId="0" applyNumberFormat="1" applyFont="1" applyBorder="1" applyAlignment="1">
      <alignment vertical="center"/>
    </xf>
    <xf numFmtId="0" fontId="11" fillId="0" borderId="0" xfId="0" applyFont="1" applyBorder="1" applyAlignment="1">
      <alignment horizontal="center"/>
    </xf>
    <xf numFmtId="14" fontId="16" fillId="0" borderId="0" xfId="0" applyNumberFormat="1" applyFont="1" applyBorder="1" applyAlignment="1">
      <alignment horizontal="center" vertical="top" wrapText="1" readingOrder="1"/>
    </xf>
    <xf numFmtId="0" fontId="0" fillId="0" borderId="0" xfId="0" applyFont="1"/>
    <xf numFmtId="0" fontId="16" fillId="0" borderId="0" xfId="0" applyFont="1" applyBorder="1" applyAlignment="1">
      <alignment horizontal="center" vertical="top" wrapText="1" readingOrder="1"/>
    </xf>
    <xf numFmtId="1" fontId="16" fillId="0" borderId="0" xfId="0" applyNumberFormat="1" applyFont="1" applyBorder="1" applyAlignment="1">
      <alignment horizontal="center" vertical="top" wrapText="1" readingOrder="1"/>
    </xf>
    <xf numFmtId="164" fontId="6" fillId="0" borderId="0" xfId="0" applyNumberFormat="1" applyFont="1" applyBorder="1" applyAlignment="1">
      <alignment horizontal="center"/>
    </xf>
    <xf numFmtId="2" fontId="15" fillId="0" borderId="0" xfId="0" applyNumberFormat="1" applyFont="1" applyAlignment="1">
      <alignment horizontal="center" vertical="center"/>
    </xf>
    <xf numFmtId="2" fontId="6" fillId="0" borderId="0" xfId="0" applyNumberFormat="1" applyFont="1" applyBorder="1" applyAlignment="1">
      <alignment horizontal="center"/>
    </xf>
    <xf numFmtId="2" fontId="15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66" fontId="5" fillId="0" borderId="0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164" fontId="10" fillId="0" borderId="0" xfId="0" applyNumberFormat="1" applyFont="1" applyBorder="1" applyAlignment="1">
      <alignment horizontal="center"/>
    </xf>
    <xf numFmtId="167" fontId="17" fillId="0" borderId="0" xfId="0" applyNumberFormat="1" applyFont="1" applyAlignment="1">
      <alignment vertical="center"/>
    </xf>
    <xf numFmtId="164" fontId="17" fillId="0" borderId="0" xfId="0" applyNumberFormat="1" applyFont="1" applyAlignment="1">
      <alignment vertical="center"/>
    </xf>
    <xf numFmtId="167" fontId="17" fillId="0" borderId="1" xfId="0" applyNumberFormat="1" applyFont="1" applyBorder="1" applyAlignment="1">
      <alignment vertical="center"/>
    </xf>
    <xf numFmtId="2" fontId="8" fillId="0" borderId="1" xfId="0" applyNumberFormat="1" applyFont="1" applyBorder="1" applyAlignment="1">
      <alignment horizontal="center" vertical="center"/>
    </xf>
    <xf numFmtId="2" fontId="8" fillId="0" borderId="0" xfId="0" quotePrefix="1" applyNumberFormat="1" applyFont="1" applyAlignment="1">
      <alignment horizontal="center"/>
    </xf>
    <xf numFmtId="0" fontId="6" fillId="0" borderId="0" xfId="0" quotePrefix="1" applyFont="1" applyBorder="1" applyAlignment="1">
      <alignment horizontal="center"/>
    </xf>
    <xf numFmtId="167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2" fontId="9" fillId="0" borderId="1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/>
    </xf>
    <xf numFmtId="2" fontId="8" fillId="0" borderId="0" xfId="0" applyNumberFormat="1" applyFont="1" applyBorder="1" applyAlignment="1">
      <alignment horizontal="center"/>
    </xf>
    <xf numFmtId="166" fontId="8" fillId="0" borderId="0" xfId="0" applyNumberFormat="1" applyFont="1" applyBorder="1" applyAlignment="1">
      <alignment horizontal="center"/>
    </xf>
    <xf numFmtId="167" fontId="8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164" fontId="10" fillId="0" borderId="1" xfId="0" applyNumberFormat="1" applyFont="1" applyBorder="1" applyAlignment="1">
      <alignment horizontal="center"/>
    </xf>
    <xf numFmtId="166" fontId="5" fillId="0" borderId="0" xfId="0" quotePrefix="1" applyNumberFormat="1" applyFont="1" applyBorder="1" applyAlignment="1">
      <alignment horizontal="center"/>
    </xf>
    <xf numFmtId="0" fontId="0" fillId="2" borderId="0" xfId="0" applyFill="1"/>
    <xf numFmtId="0" fontId="6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2" fontId="8" fillId="2" borderId="0" xfId="0" applyNumberFormat="1" applyFont="1" applyFill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2" fontId="6" fillId="2" borderId="0" xfId="0" applyNumberFormat="1" applyFont="1" applyFill="1" applyBorder="1" applyAlignment="1">
      <alignment horizontal="center"/>
    </xf>
    <xf numFmtId="2" fontId="8" fillId="2" borderId="1" xfId="0" applyNumberFormat="1" applyFont="1" applyFill="1" applyBorder="1" applyAlignment="1">
      <alignment horizontal="center"/>
    </xf>
    <xf numFmtId="49" fontId="18" fillId="2" borderId="1" xfId="0" applyNumberFormat="1" applyFont="1" applyFill="1" applyBorder="1" applyAlignment="1" applyProtection="1">
      <alignment horizontal="center"/>
    </xf>
    <xf numFmtId="49" fontId="18" fillId="2" borderId="0" xfId="0" applyNumberFormat="1" applyFont="1" applyFill="1" applyBorder="1" applyAlignment="1" applyProtection="1">
      <alignment horizontal="center"/>
    </xf>
    <xf numFmtId="2" fontId="17" fillId="2" borderId="1" xfId="0" applyNumberFormat="1" applyFont="1" applyFill="1" applyBorder="1" applyAlignment="1">
      <alignment horizontal="center" vertical="center"/>
    </xf>
    <xf numFmtId="2" fontId="17" fillId="2" borderId="0" xfId="0" applyNumberFormat="1" applyFont="1" applyFill="1" applyBorder="1" applyAlignment="1">
      <alignment horizontal="center" vertical="center"/>
    </xf>
    <xf numFmtId="2" fontId="17" fillId="2" borderId="0" xfId="0" applyNumberFormat="1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0" applyFont="1" applyFill="1"/>
    <xf numFmtId="164" fontId="8" fillId="2" borderId="0" xfId="0" applyNumberFormat="1" applyFont="1" applyFill="1" applyAlignment="1">
      <alignment horizontal="center"/>
    </xf>
    <xf numFmtId="164" fontId="8" fillId="2" borderId="1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164" fontId="5" fillId="2" borderId="1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0" fontId="5" fillId="2" borderId="1" xfId="0" applyFont="1" applyFill="1" applyBorder="1"/>
    <xf numFmtId="166" fontId="5" fillId="2" borderId="0" xfId="0" applyNumberFormat="1" applyFont="1" applyFill="1" applyBorder="1" applyAlignment="1">
      <alignment horizontal="center"/>
    </xf>
    <xf numFmtId="166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center"/>
    </xf>
    <xf numFmtId="0" fontId="5" fillId="3" borderId="0" xfId="0" applyFont="1" applyFill="1" applyBorder="1" applyAlignment="1">
      <alignment horizontal="center"/>
    </xf>
    <xf numFmtId="164" fontId="5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58CA8-784E-48DF-89D6-3EB55BFB2F8A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5"/>
  <sheetViews>
    <sheetView tabSelected="1" zoomScale="70" zoomScaleNormal="70" workbookViewId="0">
      <pane xSplit="1" ySplit="5" topLeftCell="D50" activePane="bottomRight" state="frozen"/>
      <selection pane="topRight" activeCell="B1" sqref="B1"/>
      <selection pane="bottomLeft" activeCell="A6" sqref="A6"/>
      <selection pane="bottomRight" activeCell="F78" sqref="F78"/>
    </sheetView>
  </sheetViews>
  <sheetFormatPr defaultRowHeight="15" x14ac:dyDescent="0.25"/>
  <cols>
    <col min="1" max="1" width="24.28515625" customWidth="1"/>
    <col min="2" max="4" width="13.42578125" customWidth="1"/>
    <col min="5" max="5" width="15.5703125" style="2" customWidth="1"/>
    <col min="7" max="8" width="12.5703125" customWidth="1"/>
    <col min="9" max="9" width="14.42578125" customWidth="1"/>
    <col min="10" max="10" width="14.42578125" style="84" customWidth="1"/>
    <col min="11" max="11" width="19.42578125" customWidth="1"/>
    <col min="12" max="12" width="13.5703125" customWidth="1"/>
    <col min="13" max="13" width="13.42578125" customWidth="1"/>
    <col min="14" max="14" width="13.5703125" customWidth="1"/>
    <col min="15" max="15" width="15" customWidth="1"/>
    <col min="16" max="16" width="15.7109375" customWidth="1"/>
    <col min="17" max="17" width="15.7109375" style="84" customWidth="1"/>
    <col min="18" max="18" width="15" customWidth="1"/>
    <col min="19" max="21" width="14.140625" customWidth="1"/>
    <col min="22" max="22" width="15.7109375" style="84" customWidth="1"/>
    <col min="23" max="23" width="13.42578125" customWidth="1"/>
    <col min="24" max="24" width="12.5703125" style="6" customWidth="1"/>
    <col min="25" max="25" width="14.42578125" style="6" customWidth="1"/>
    <col min="26" max="27" width="14.85546875" style="6" customWidth="1"/>
  </cols>
  <sheetData>
    <row r="1" spans="1:27" ht="15.75" x14ac:dyDescent="0.25">
      <c r="A1" s="1" t="s">
        <v>32</v>
      </c>
      <c r="X1" s="3"/>
      <c r="Y1" s="3"/>
      <c r="Z1" s="3"/>
      <c r="AA1" s="3"/>
    </row>
    <row r="2" spans="1:27" x14ac:dyDescent="0.25">
      <c r="A2" s="4" t="s">
        <v>0</v>
      </c>
      <c r="X2" s="3"/>
      <c r="Y2" s="3"/>
      <c r="Z2" s="3"/>
      <c r="AA2" s="3"/>
    </row>
    <row r="3" spans="1:27" x14ac:dyDescent="0.25">
      <c r="A3" s="5" t="s">
        <v>1</v>
      </c>
      <c r="Z3" s="7"/>
      <c r="AA3" s="7"/>
    </row>
    <row r="4" spans="1:27" x14ac:dyDescent="0.25">
      <c r="A4" s="8"/>
      <c r="B4" s="8"/>
      <c r="C4" s="8"/>
      <c r="D4" s="8"/>
      <c r="E4" s="9" t="s">
        <v>2</v>
      </c>
      <c r="G4" s="11" t="s">
        <v>3</v>
      </c>
      <c r="H4" s="11" t="s">
        <v>4</v>
      </c>
      <c r="I4" s="11" t="s">
        <v>5</v>
      </c>
      <c r="J4" s="85" t="s">
        <v>4</v>
      </c>
      <c r="K4" s="11" t="s">
        <v>6</v>
      </c>
      <c r="L4" s="11" t="s">
        <v>7</v>
      </c>
      <c r="M4" s="8"/>
      <c r="N4" s="11" t="s">
        <v>3</v>
      </c>
      <c r="O4" s="11" t="s">
        <v>4</v>
      </c>
      <c r="P4" s="11" t="s">
        <v>5</v>
      </c>
      <c r="Q4" s="85" t="s">
        <v>4</v>
      </c>
      <c r="R4" s="11" t="s">
        <v>6</v>
      </c>
      <c r="S4" s="11" t="s">
        <v>7</v>
      </c>
      <c r="T4" s="11"/>
      <c r="U4" s="11" t="s">
        <v>3</v>
      </c>
      <c r="V4" s="85" t="s">
        <v>4</v>
      </c>
      <c r="W4" s="8"/>
      <c r="X4" s="12" t="s">
        <v>8</v>
      </c>
      <c r="Y4" s="11" t="s">
        <v>9</v>
      </c>
      <c r="Z4" s="11" t="s">
        <v>10</v>
      </c>
      <c r="AA4" s="11" t="s">
        <v>11</v>
      </c>
    </row>
    <row r="5" spans="1:27" x14ac:dyDescent="0.25">
      <c r="A5" s="13" t="s">
        <v>12</v>
      </c>
      <c r="B5" s="13" t="s">
        <v>13</v>
      </c>
      <c r="C5" s="13" t="s">
        <v>37</v>
      </c>
      <c r="D5" s="13" t="s">
        <v>40</v>
      </c>
      <c r="E5" s="13" t="s">
        <v>14</v>
      </c>
      <c r="G5" s="13" t="s">
        <v>15</v>
      </c>
      <c r="H5" s="13" t="s">
        <v>15</v>
      </c>
      <c r="I5" s="13" t="s">
        <v>15</v>
      </c>
      <c r="J5" s="86" t="s">
        <v>16</v>
      </c>
      <c r="K5" s="13" t="s">
        <v>17</v>
      </c>
      <c r="L5" s="13" t="s">
        <v>18</v>
      </c>
      <c r="M5" s="13"/>
      <c r="N5" s="13" t="s">
        <v>19</v>
      </c>
      <c r="O5" s="13" t="s">
        <v>19</v>
      </c>
      <c r="P5" s="13" t="s">
        <v>19</v>
      </c>
      <c r="Q5" s="86" t="s">
        <v>20</v>
      </c>
      <c r="R5" s="13" t="s">
        <v>21</v>
      </c>
      <c r="S5" s="13" t="s">
        <v>22</v>
      </c>
      <c r="T5" s="13"/>
      <c r="U5" s="13" t="s">
        <v>23</v>
      </c>
      <c r="V5" s="86" t="s">
        <v>23</v>
      </c>
      <c r="W5" s="13"/>
      <c r="X5" s="14" t="s">
        <v>24</v>
      </c>
      <c r="Y5" s="14" t="s">
        <v>25</v>
      </c>
      <c r="Z5" s="13" t="s">
        <v>26</v>
      </c>
      <c r="AA5" s="13" t="s">
        <v>26</v>
      </c>
    </row>
    <row r="6" spans="1:27" x14ac:dyDescent="0.25">
      <c r="A6" s="12"/>
      <c r="B6" s="12"/>
      <c r="C6" s="12"/>
      <c r="D6" s="12"/>
      <c r="E6" s="12"/>
      <c r="G6" s="12"/>
      <c r="H6" s="12"/>
      <c r="I6" s="12"/>
      <c r="J6" s="87"/>
      <c r="K6" s="12"/>
      <c r="L6" s="12"/>
      <c r="M6" s="12"/>
      <c r="N6" s="12"/>
      <c r="O6" s="12"/>
      <c r="P6" s="12"/>
      <c r="Q6" s="87"/>
      <c r="R6" s="12"/>
      <c r="S6" s="12"/>
      <c r="T6" s="12"/>
      <c r="U6" s="12"/>
      <c r="V6" s="87"/>
      <c r="W6" s="12"/>
      <c r="X6" s="33"/>
      <c r="Y6" s="33"/>
      <c r="Z6" s="12"/>
      <c r="AA6" s="12"/>
    </row>
    <row r="7" spans="1:27" ht="15.75" x14ac:dyDescent="0.25">
      <c r="A7" s="34" t="s">
        <v>34</v>
      </c>
      <c r="B7" s="12"/>
      <c r="C7" s="35"/>
      <c r="D7" s="35"/>
      <c r="E7" s="25"/>
      <c r="G7" s="12"/>
      <c r="H7" s="12"/>
      <c r="I7" s="12"/>
      <c r="J7" s="87"/>
      <c r="K7" s="12"/>
      <c r="L7" s="12"/>
      <c r="M7" s="35"/>
      <c r="N7" s="12"/>
      <c r="O7" s="12"/>
      <c r="P7" s="12"/>
      <c r="Q7" s="87"/>
      <c r="R7" s="12"/>
      <c r="S7" s="12"/>
      <c r="T7" s="12"/>
      <c r="U7" s="12"/>
      <c r="V7" s="87"/>
      <c r="W7" s="35"/>
      <c r="X7" s="33"/>
      <c r="Y7" s="33"/>
      <c r="Z7" s="12"/>
      <c r="AA7" s="12"/>
    </row>
    <row r="8" spans="1:27" ht="15.75" x14ac:dyDescent="0.25">
      <c r="A8" s="12"/>
      <c r="B8" s="12"/>
      <c r="C8" s="35"/>
      <c r="D8" s="35"/>
      <c r="E8" s="25"/>
      <c r="G8" s="25"/>
      <c r="H8" s="12"/>
      <c r="I8" s="12"/>
      <c r="J8" s="87"/>
      <c r="K8" s="12"/>
      <c r="L8" s="44"/>
      <c r="M8" s="35"/>
      <c r="N8" s="12"/>
      <c r="O8" s="12"/>
      <c r="P8" s="12"/>
      <c r="Q8" s="87"/>
      <c r="R8" s="12"/>
      <c r="S8" s="12"/>
      <c r="T8" s="12"/>
      <c r="U8" s="12"/>
      <c r="V8" s="87"/>
      <c r="W8" s="35"/>
      <c r="X8" s="33"/>
      <c r="Y8" s="33"/>
      <c r="Z8" s="12"/>
      <c r="AA8" s="12"/>
    </row>
    <row r="9" spans="1:27" x14ac:dyDescent="0.25">
      <c r="A9" s="46" t="s">
        <v>35</v>
      </c>
      <c r="B9" s="47">
        <v>41779</v>
      </c>
      <c r="C9" s="46">
        <v>4</v>
      </c>
      <c r="D9" s="46">
        <v>1</v>
      </c>
      <c r="E9" s="25">
        <v>5.4</v>
      </c>
      <c r="G9" s="25">
        <v>2.4500000000000002</v>
      </c>
      <c r="H9" s="52">
        <v>3.8988768866222085</v>
      </c>
      <c r="I9" s="24">
        <f>G9+H9</f>
        <v>6.3488768866222092</v>
      </c>
      <c r="J9" s="88">
        <f>H9/E9</f>
        <v>0.72201423826337185</v>
      </c>
      <c r="K9" s="17">
        <f>LOG((J9)*1000000/G9)</f>
        <v>5.4693796776625065</v>
      </c>
      <c r="L9" s="20">
        <f>H9/(H9+G9)</f>
        <v>0.61410497576942724</v>
      </c>
      <c r="M9" s="46"/>
      <c r="N9" s="58">
        <v>1.4E-2</v>
      </c>
      <c r="O9" s="59">
        <v>8.0295237946101852E-3</v>
      </c>
      <c r="P9" s="31">
        <f>N9+O9</f>
        <v>2.2029523794610185E-2</v>
      </c>
      <c r="Q9" s="101">
        <f>(O9/E9)*1000</f>
        <v>1.4869488508537378</v>
      </c>
      <c r="R9" s="17">
        <f>LOG((Q9/1000)*1000000/N9)</f>
        <v>5.0261679939237203</v>
      </c>
      <c r="S9" s="20">
        <f>O9/(O9+N9)</f>
        <v>0.36448921317921157</v>
      </c>
      <c r="T9" s="12"/>
      <c r="W9" s="46"/>
      <c r="X9" s="33"/>
      <c r="Y9" s="33"/>
      <c r="Z9" s="12"/>
      <c r="AA9" s="12"/>
    </row>
    <row r="10" spans="1:27" x14ac:dyDescent="0.25">
      <c r="A10" s="46"/>
      <c r="B10" s="48"/>
      <c r="C10" s="46"/>
      <c r="D10" s="46">
        <v>2</v>
      </c>
      <c r="E10" s="25"/>
      <c r="G10" s="42"/>
      <c r="H10" s="55"/>
      <c r="I10" s="55"/>
      <c r="J10" s="89"/>
      <c r="K10" s="43"/>
      <c r="L10" s="45"/>
      <c r="M10" s="46"/>
      <c r="N10" s="61"/>
      <c r="O10" s="13"/>
      <c r="P10" s="62"/>
      <c r="Q10" s="86"/>
      <c r="R10" s="13"/>
      <c r="S10" s="13"/>
      <c r="T10" s="12"/>
      <c r="U10" s="13"/>
      <c r="V10" s="86"/>
      <c r="W10" s="46"/>
      <c r="X10" s="33"/>
      <c r="Y10" s="33"/>
      <c r="Z10" s="12"/>
      <c r="AA10" s="12"/>
    </row>
    <row r="11" spans="1:27" x14ac:dyDescent="0.25">
      <c r="A11" s="46"/>
      <c r="B11" s="48"/>
      <c r="C11" s="46"/>
      <c r="D11" s="46"/>
      <c r="E11" s="25"/>
      <c r="G11" s="25"/>
      <c r="H11" s="53"/>
      <c r="I11" s="53"/>
      <c r="J11" s="90"/>
      <c r="K11" s="41"/>
      <c r="L11" s="44"/>
      <c r="M11" s="46"/>
      <c r="N11" s="12"/>
      <c r="O11" s="12"/>
      <c r="P11" s="51"/>
      <c r="Q11" s="87"/>
      <c r="R11" s="12"/>
      <c r="S11" s="12"/>
      <c r="T11" s="12"/>
      <c r="U11" s="65">
        <f>N9/G9</f>
        <v>5.7142857142857143E-3</v>
      </c>
      <c r="V11" s="108">
        <f>(Q9/1000)/J9</f>
        <v>2.0594453295411856E-3</v>
      </c>
      <c r="W11" s="46"/>
      <c r="X11" s="33"/>
      <c r="Y11" s="33"/>
      <c r="Z11" s="12"/>
      <c r="AA11" s="12"/>
    </row>
    <row r="12" spans="1:27" x14ac:dyDescent="0.25">
      <c r="A12" s="46" t="s">
        <v>36</v>
      </c>
      <c r="B12" s="47">
        <v>41779</v>
      </c>
      <c r="C12" s="46">
        <v>12</v>
      </c>
      <c r="D12" s="46">
        <v>1</v>
      </c>
      <c r="E12" s="25">
        <v>11.3</v>
      </c>
      <c r="G12" s="25">
        <v>2.35</v>
      </c>
      <c r="H12" s="52">
        <v>1.8729311962901856</v>
      </c>
      <c r="I12" s="24"/>
      <c r="J12" s="88"/>
      <c r="K12" s="41"/>
      <c r="L12" s="44"/>
      <c r="M12" s="46"/>
      <c r="N12" s="58">
        <v>8.9999999999999993E-3</v>
      </c>
      <c r="O12" s="59">
        <v>9.528488621949889E-3</v>
      </c>
      <c r="P12" s="31">
        <f>N12+O12</f>
        <v>1.852848862194989E-2</v>
      </c>
      <c r="Q12" s="101">
        <f>(O12/E12)*1000</f>
        <v>0.84322908158848564</v>
      </c>
      <c r="R12" s="17">
        <f>LOG((Q12/1000)*1000000/N12)</f>
        <v>4.9717030667920596</v>
      </c>
      <c r="T12" s="12"/>
      <c r="W12" s="46"/>
      <c r="X12" s="33"/>
      <c r="Y12" s="33"/>
      <c r="Z12" s="12"/>
      <c r="AA12" s="12"/>
    </row>
    <row r="13" spans="1:27" x14ac:dyDescent="0.25">
      <c r="A13" s="46"/>
      <c r="B13" s="47"/>
      <c r="C13" s="46"/>
      <c r="D13" s="46">
        <v>2</v>
      </c>
      <c r="E13" s="25"/>
      <c r="G13" s="42"/>
      <c r="H13" s="54">
        <v>2.6403018285377522</v>
      </c>
      <c r="I13" s="57"/>
      <c r="J13" s="91"/>
      <c r="K13" s="43"/>
      <c r="L13" s="45"/>
      <c r="M13" s="46"/>
      <c r="N13" s="13"/>
      <c r="O13" s="13"/>
      <c r="P13" s="62"/>
      <c r="Q13" s="86"/>
      <c r="R13" s="13"/>
      <c r="S13" s="13"/>
      <c r="T13" s="12"/>
      <c r="U13" s="13"/>
      <c r="V13" s="86"/>
      <c r="W13" s="46"/>
      <c r="X13" s="33"/>
      <c r="Y13" s="33"/>
      <c r="Z13" s="12"/>
      <c r="AA13" s="12"/>
    </row>
    <row r="14" spans="1:27" x14ac:dyDescent="0.25">
      <c r="A14" s="46"/>
      <c r="B14" s="48"/>
      <c r="C14" s="46"/>
      <c r="D14" s="46"/>
      <c r="E14" s="25"/>
      <c r="G14" s="25">
        <v>2.35</v>
      </c>
      <c r="H14" s="24">
        <f>AVERAGE(H12:H13)</f>
        <v>2.2566165124139688</v>
      </c>
      <c r="I14" s="24">
        <f>SUM(G14+H14)</f>
        <v>4.6066165124139689</v>
      </c>
      <c r="J14" s="88">
        <f>H14/E12</f>
        <v>0.19970057631982024</v>
      </c>
      <c r="K14" s="17">
        <f>LOG((J14)*1000000/G14)</f>
        <v>4.9293114559397599</v>
      </c>
      <c r="L14" s="20">
        <f>H14/(H14+G14)</f>
        <v>0.48986419996820008</v>
      </c>
      <c r="M14" s="46"/>
      <c r="N14" s="12"/>
      <c r="O14" s="12"/>
      <c r="P14" s="51"/>
      <c r="Q14" s="87"/>
      <c r="R14" s="12"/>
      <c r="S14" s="12"/>
      <c r="T14" s="12"/>
      <c r="U14" s="65">
        <f>N12/G12</f>
        <v>3.8297872340425526E-3</v>
      </c>
      <c r="V14" s="108">
        <f>(Q12/1000)/J14</f>
        <v>4.222466940896832E-3</v>
      </c>
      <c r="W14" s="46"/>
      <c r="X14" s="33"/>
      <c r="Y14" s="33"/>
      <c r="Z14" s="12"/>
      <c r="AA14" s="12"/>
    </row>
    <row r="15" spans="1:27" x14ac:dyDescent="0.25">
      <c r="A15" s="46"/>
      <c r="B15" s="48"/>
      <c r="C15" s="46"/>
      <c r="D15" s="46"/>
      <c r="E15" s="25"/>
      <c r="G15" s="25"/>
      <c r="H15" s="12"/>
      <c r="I15" s="12"/>
      <c r="J15" s="87"/>
      <c r="K15" s="41"/>
      <c r="L15" s="44"/>
      <c r="M15" s="46"/>
      <c r="N15" s="12"/>
      <c r="O15" s="12"/>
      <c r="P15" s="51"/>
      <c r="Q15" s="87"/>
      <c r="R15" s="12"/>
      <c r="S15" s="12"/>
      <c r="T15" s="12"/>
      <c r="U15" s="12"/>
      <c r="V15" s="87"/>
      <c r="W15" s="46"/>
      <c r="X15" s="33"/>
      <c r="Y15" s="33"/>
      <c r="Z15" s="12"/>
      <c r="AA15" s="12"/>
    </row>
    <row r="16" spans="1:27" x14ac:dyDescent="0.25">
      <c r="A16" s="46" t="s">
        <v>28</v>
      </c>
      <c r="B16" s="47">
        <v>41781</v>
      </c>
      <c r="C16" s="46">
        <v>10</v>
      </c>
      <c r="D16" s="46">
        <v>1</v>
      </c>
      <c r="E16" s="25">
        <v>3.4</v>
      </c>
      <c r="G16" s="25">
        <v>4.3099999999999996</v>
      </c>
      <c r="H16" s="52">
        <v>2.3467158097074265</v>
      </c>
      <c r="I16" s="24">
        <f>G16+H16</f>
        <v>6.6567158097074266</v>
      </c>
      <c r="J16" s="88">
        <f>H16/E16</f>
        <v>0.69021053226689022</v>
      </c>
      <c r="K16" s="17">
        <f>LOG((J16)*1000000/G16)</f>
        <v>5.2045043119614895</v>
      </c>
      <c r="L16" s="20">
        <f>H16/(H16+G16)</f>
        <v>0.35253357313004602</v>
      </c>
      <c r="M16" s="46"/>
      <c r="N16" s="58">
        <v>0.02</v>
      </c>
      <c r="O16" s="59">
        <v>2.3391359450065315E-2</v>
      </c>
      <c r="P16" s="31"/>
      <c r="Q16" s="101"/>
      <c r="R16" s="17"/>
      <c r="S16" s="20"/>
      <c r="T16" s="12"/>
      <c r="V16" s="87"/>
      <c r="W16" s="46"/>
      <c r="X16" s="33"/>
      <c r="Y16" s="33"/>
      <c r="Z16" s="12"/>
      <c r="AA16" s="12"/>
    </row>
    <row r="17" spans="1:27" x14ac:dyDescent="0.25">
      <c r="A17" s="46"/>
      <c r="B17" s="48"/>
      <c r="C17" s="46"/>
      <c r="D17" s="46">
        <v>2</v>
      </c>
      <c r="E17" s="25"/>
      <c r="G17" s="42"/>
      <c r="H17" s="13"/>
      <c r="I17" s="55"/>
      <c r="J17" s="89"/>
      <c r="K17" s="13"/>
      <c r="L17" s="13"/>
      <c r="M17" s="46"/>
      <c r="N17" s="61"/>
      <c r="O17" s="60">
        <v>1.2309613363085208E-2</v>
      </c>
      <c r="P17" s="63"/>
      <c r="Q17" s="102"/>
      <c r="R17" s="56"/>
      <c r="S17" s="64"/>
      <c r="T17" s="12"/>
      <c r="U17" s="13"/>
      <c r="V17" s="86"/>
      <c r="W17" s="46"/>
      <c r="X17" s="33"/>
      <c r="Y17" s="33"/>
      <c r="Z17" s="12"/>
      <c r="AA17" s="12"/>
    </row>
    <row r="18" spans="1:27" x14ac:dyDescent="0.25">
      <c r="A18" s="46"/>
      <c r="B18" s="48"/>
      <c r="C18" s="46"/>
      <c r="D18" s="46"/>
      <c r="E18" s="25"/>
      <c r="G18" s="25"/>
      <c r="H18" s="12"/>
      <c r="I18" s="53"/>
      <c r="J18" s="90"/>
      <c r="K18" s="12"/>
      <c r="L18" s="12"/>
      <c r="M18" s="46"/>
      <c r="N18" s="67">
        <f>N16</f>
        <v>0.02</v>
      </c>
      <c r="O18" s="31">
        <f>AVERAGE(O16:O17)</f>
        <v>1.7850486406575262E-2</v>
      </c>
      <c r="P18" s="31">
        <f>N18+O18</f>
        <v>3.7850486406575262E-2</v>
      </c>
      <c r="Q18" s="101">
        <f>(O18/E16)*1000</f>
        <v>5.2501430607574298</v>
      </c>
      <c r="R18" s="17">
        <f>LOG((Q18/1000)*1000000/N18)</f>
        <v>5.4191411419612185</v>
      </c>
      <c r="S18" s="20">
        <f>O18/(O18+N18)</f>
        <v>0.47160520514405685</v>
      </c>
      <c r="T18" s="12"/>
      <c r="U18" s="65">
        <f>N16/G16</f>
        <v>4.6403712296983765E-3</v>
      </c>
      <c r="V18" s="108">
        <f>(Q18/1000)/J16</f>
        <v>7.6065820721601327E-3</v>
      </c>
      <c r="W18" s="46"/>
      <c r="X18" s="33"/>
      <c r="Y18" s="33"/>
      <c r="Z18" s="12"/>
      <c r="AA18" s="12"/>
    </row>
    <row r="19" spans="1:27" x14ac:dyDescent="0.25">
      <c r="A19" s="46"/>
      <c r="B19" s="48"/>
      <c r="C19" s="46"/>
      <c r="D19" s="46"/>
      <c r="E19" s="25"/>
      <c r="G19" s="25"/>
      <c r="H19" s="12"/>
      <c r="I19" s="53"/>
      <c r="J19" s="90"/>
      <c r="K19" s="12"/>
      <c r="L19" s="12"/>
      <c r="M19" s="46"/>
      <c r="N19" s="12"/>
      <c r="O19" s="12"/>
      <c r="P19" s="51"/>
      <c r="Q19" s="87"/>
      <c r="R19" s="12"/>
      <c r="S19" s="12"/>
      <c r="T19" s="12"/>
      <c r="U19" s="12"/>
      <c r="V19" s="87"/>
      <c r="W19" s="46"/>
      <c r="X19" s="33"/>
      <c r="Y19" s="33"/>
      <c r="Z19" s="12"/>
      <c r="AA19" s="12"/>
    </row>
    <row r="20" spans="1:27" x14ac:dyDescent="0.25">
      <c r="A20" s="46" t="s">
        <v>28</v>
      </c>
      <c r="B20" s="47">
        <v>41781</v>
      </c>
      <c r="C20" s="46">
        <v>15</v>
      </c>
      <c r="D20" s="46">
        <v>1</v>
      </c>
      <c r="E20" s="25">
        <v>3.9</v>
      </c>
      <c r="G20" s="25">
        <v>2.61</v>
      </c>
      <c r="H20" s="52">
        <v>1.9815245283887859</v>
      </c>
      <c r="I20" s="24"/>
      <c r="J20" s="88" t="s">
        <v>1</v>
      </c>
      <c r="K20" s="12"/>
      <c r="L20" s="12"/>
      <c r="M20" s="46"/>
      <c r="N20" s="58">
        <v>2.3E-2</v>
      </c>
      <c r="O20" s="59">
        <v>9.3047945145191165E-3</v>
      </c>
      <c r="P20" s="31"/>
      <c r="Q20" s="101"/>
      <c r="R20" s="17"/>
      <c r="S20" s="20"/>
      <c r="T20" s="12"/>
      <c r="V20" s="87"/>
      <c r="W20" s="46"/>
      <c r="X20" s="33"/>
      <c r="Y20" s="33"/>
      <c r="Z20" s="12"/>
      <c r="AA20" s="12"/>
    </row>
    <row r="21" spans="1:27" x14ac:dyDescent="0.25">
      <c r="A21" s="46"/>
      <c r="B21" s="46"/>
      <c r="C21" s="46"/>
      <c r="D21" s="46">
        <v>2</v>
      </c>
      <c r="E21" s="25"/>
      <c r="G21" s="42">
        <v>2.73</v>
      </c>
      <c r="H21" s="13"/>
      <c r="I21" s="57"/>
      <c r="J21" s="89"/>
      <c r="K21" s="13"/>
      <c r="L21" s="13"/>
      <c r="M21" s="46"/>
      <c r="N21" s="13"/>
      <c r="O21" s="60">
        <v>8.9920545038147861E-3</v>
      </c>
      <c r="P21" s="63"/>
      <c r="Q21" s="102"/>
      <c r="R21" s="56"/>
      <c r="S21" s="64"/>
      <c r="T21" s="12"/>
      <c r="U21" s="13"/>
      <c r="V21" s="86"/>
      <c r="W21" s="46"/>
      <c r="X21" s="33"/>
      <c r="Y21" s="33"/>
      <c r="Z21" s="12"/>
      <c r="AA21" s="12"/>
    </row>
    <row r="22" spans="1:27" ht="15.75" x14ac:dyDescent="0.25">
      <c r="B22" s="25"/>
      <c r="C22" s="36"/>
      <c r="D22" s="36"/>
      <c r="E22" s="25"/>
      <c r="G22" s="24">
        <f>AVERAGE(G20:G21)</f>
        <v>2.67</v>
      </c>
      <c r="H22" s="66">
        <v>1.9815245283887899</v>
      </c>
      <c r="I22" s="24">
        <f>SUM(G22+H22)</f>
        <v>4.6515245283887898</v>
      </c>
      <c r="J22" s="88">
        <f>H22/E20</f>
        <v>0.50808321240738208</v>
      </c>
      <c r="K22" s="17">
        <f>LOG((J22)*1000000/G22)</f>
        <v>5.2794235842458104</v>
      </c>
      <c r="L22" s="20">
        <f>H22/(H22+G22)</f>
        <v>0.42599464246513535</v>
      </c>
      <c r="M22" s="36"/>
      <c r="N22" s="67">
        <f>N20</f>
        <v>2.3E-2</v>
      </c>
      <c r="O22" s="31">
        <f>AVERAGE(O20:O21)</f>
        <v>9.1484245091669504E-3</v>
      </c>
      <c r="P22" s="31">
        <f>N22+O22</f>
        <v>3.2148424509166953E-2</v>
      </c>
      <c r="Q22" s="101">
        <f>(O22/E20)*1000</f>
        <v>2.3457498741453717</v>
      </c>
      <c r="R22" s="17">
        <f>LOG((Q22/1000)*1000000/N22)</f>
        <v>5.0085538656793416</v>
      </c>
      <c r="S22" s="20">
        <f>O22/(O22+N22)</f>
        <v>0.28456836217769632</v>
      </c>
      <c r="T22" s="12"/>
      <c r="U22" s="65">
        <f>N20/G20</f>
        <v>8.8122605363984679E-3</v>
      </c>
      <c r="V22" s="108">
        <f>(Q22/1000)/J22</f>
        <v>4.616861602316719E-3</v>
      </c>
      <c r="W22" s="36"/>
      <c r="X22" s="33"/>
      <c r="Y22" s="33"/>
      <c r="Z22" s="12"/>
      <c r="AA22" s="12"/>
    </row>
    <row r="23" spans="1:27" ht="15.75" x14ac:dyDescent="0.25">
      <c r="A23" s="34" t="s">
        <v>38</v>
      </c>
      <c r="B23" s="25"/>
      <c r="C23" s="36"/>
      <c r="D23" s="36"/>
      <c r="E23" s="25"/>
      <c r="G23" s="25"/>
      <c r="H23" s="12"/>
      <c r="I23" s="12"/>
      <c r="J23" s="87"/>
      <c r="K23" s="12"/>
      <c r="L23" s="12"/>
      <c r="M23" s="36"/>
      <c r="N23" s="12"/>
      <c r="O23" s="12"/>
      <c r="P23" s="12"/>
      <c r="Q23" s="87"/>
      <c r="R23" s="12"/>
      <c r="S23" s="12"/>
      <c r="T23" s="12"/>
      <c r="U23" s="12"/>
      <c r="V23" s="87"/>
      <c r="W23" s="36"/>
      <c r="X23" s="33"/>
      <c r="Y23" s="33"/>
      <c r="Z23" s="12"/>
      <c r="AA23" s="12"/>
    </row>
    <row r="24" spans="1:27" ht="15.75" x14ac:dyDescent="0.25">
      <c r="A24" s="36"/>
      <c r="B24" s="25"/>
      <c r="C24" s="36"/>
      <c r="D24" s="36"/>
      <c r="E24" s="25"/>
      <c r="G24" s="12"/>
      <c r="H24" s="12"/>
      <c r="I24" s="12"/>
      <c r="J24" s="87"/>
      <c r="K24" s="12"/>
      <c r="L24" s="12"/>
      <c r="M24" s="36"/>
      <c r="N24" s="12"/>
      <c r="O24" s="12"/>
      <c r="P24" s="12"/>
      <c r="Q24" s="87"/>
      <c r="R24" s="12"/>
      <c r="S24" s="12"/>
      <c r="T24" s="12"/>
      <c r="U24" s="12"/>
      <c r="V24" s="87"/>
      <c r="W24" s="36"/>
      <c r="X24" s="33"/>
      <c r="Y24" s="33"/>
      <c r="Z24" s="12"/>
      <c r="AA24" s="12"/>
    </row>
    <row r="25" spans="1:27" x14ac:dyDescent="0.25">
      <c r="A25" s="46" t="s">
        <v>35</v>
      </c>
      <c r="B25" s="47">
        <v>41852</v>
      </c>
      <c r="C25" s="46">
        <v>4</v>
      </c>
      <c r="D25" s="46">
        <v>1</v>
      </c>
      <c r="E25" s="26">
        <v>1</v>
      </c>
      <c r="G25" s="66">
        <v>2.68</v>
      </c>
      <c r="H25" s="66">
        <v>0.78339442515485025</v>
      </c>
      <c r="I25" s="24">
        <f>G25+H25</f>
        <v>3.4633944251548505</v>
      </c>
      <c r="J25" s="88">
        <f>H25/E25</f>
        <v>0.78339442515485025</v>
      </c>
      <c r="K25" s="17">
        <f>LOG((J25)*1000000/G25)</f>
        <v>5.4658456826378696</v>
      </c>
      <c r="L25" s="20">
        <f>H25/(H25+G25)</f>
        <v>0.22619266794015938</v>
      </c>
      <c r="M25" s="46"/>
      <c r="N25" s="25" t="s">
        <v>41</v>
      </c>
      <c r="O25" s="59">
        <v>1.3571954310698353E-2</v>
      </c>
      <c r="P25" s="31">
        <f>O25</f>
        <v>1.3571954310698353E-2</v>
      </c>
      <c r="Q25" s="101">
        <f>(O25/E25)*1000</f>
        <v>13.571954310698352</v>
      </c>
      <c r="R25" s="72" t="s">
        <v>42</v>
      </c>
      <c r="S25" s="72" t="s">
        <v>42</v>
      </c>
      <c r="T25" s="12"/>
      <c r="U25" s="12"/>
      <c r="V25" s="87"/>
      <c r="W25" s="46"/>
      <c r="X25" s="33"/>
      <c r="Y25" s="33"/>
      <c r="Z25" s="12"/>
      <c r="AA25" s="12"/>
    </row>
    <row r="26" spans="1:27" x14ac:dyDescent="0.25">
      <c r="A26" s="46"/>
      <c r="B26" s="47"/>
      <c r="C26" s="46"/>
      <c r="D26" s="46">
        <v>2</v>
      </c>
      <c r="E26" s="25"/>
      <c r="G26" s="13"/>
      <c r="H26" s="55"/>
      <c r="I26" s="43"/>
      <c r="J26" s="92"/>
      <c r="K26" s="13"/>
      <c r="L26" s="70"/>
      <c r="M26" s="46"/>
      <c r="N26" s="42">
        <v>4.0000000000000001E-3</v>
      </c>
      <c r="O26" s="63"/>
      <c r="P26" s="42"/>
      <c r="Q26" s="103"/>
      <c r="R26" s="17">
        <f>LOG((Q25/1000)*1000000/N26)</f>
        <v>6.5305823976170458</v>
      </c>
      <c r="S26" s="13"/>
      <c r="T26" s="12"/>
      <c r="U26" s="13"/>
      <c r="V26" s="86"/>
      <c r="W26" s="46"/>
      <c r="X26" s="33"/>
      <c r="Y26" s="33"/>
      <c r="Z26" s="12"/>
      <c r="AA26" s="12"/>
    </row>
    <row r="27" spans="1:27" x14ac:dyDescent="0.25">
      <c r="A27" s="46"/>
      <c r="B27" s="47"/>
      <c r="C27" s="46"/>
      <c r="D27" s="46"/>
      <c r="E27" s="25"/>
      <c r="G27" s="12"/>
      <c r="H27" s="53"/>
      <c r="I27" s="41"/>
      <c r="J27" s="93"/>
      <c r="K27" s="12"/>
      <c r="L27" s="68"/>
      <c r="M27" s="46"/>
      <c r="N27" s="25"/>
      <c r="O27" s="31"/>
      <c r="P27" s="25"/>
      <c r="Q27" s="104"/>
      <c r="R27" s="12"/>
      <c r="S27" s="12"/>
      <c r="T27" s="12"/>
      <c r="U27" s="73" t="s">
        <v>42</v>
      </c>
      <c r="V27" s="108">
        <f>(Q25/1000)/J25</f>
        <v>1.732454798617649E-2</v>
      </c>
      <c r="W27" s="46"/>
      <c r="X27" s="33"/>
      <c r="Y27" s="33"/>
      <c r="Z27" s="12"/>
      <c r="AA27" s="12"/>
    </row>
    <row r="28" spans="1:27" x14ac:dyDescent="0.25">
      <c r="A28" s="46"/>
      <c r="B28" s="48"/>
      <c r="C28" s="46"/>
      <c r="D28" s="46"/>
      <c r="E28" s="25"/>
      <c r="G28" s="12"/>
      <c r="H28" s="53"/>
      <c r="I28" s="41"/>
      <c r="J28" s="93"/>
      <c r="K28" s="12"/>
      <c r="L28" s="68"/>
      <c r="M28" s="46"/>
      <c r="N28" s="25"/>
      <c r="O28" s="31"/>
      <c r="P28" s="25"/>
      <c r="Q28" s="104"/>
      <c r="R28" s="12"/>
      <c r="S28" s="12"/>
      <c r="T28" s="12"/>
      <c r="U28" s="12"/>
      <c r="V28" s="87"/>
      <c r="W28" s="46"/>
      <c r="X28" s="33"/>
      <c r="Y28" s="33"/>
      <c r="Z28" s="12"/>
      <c r="AA28" s="12"/>
    </row>
    <row r="29" spans="1:27" x14ac:dyDescent="0.25">
      <c r="A29" s="46" t="s">
        <v>36</v>
      </c>
      <c r="B29" s="47">
        <v>41852</v>
      </c>
      <c r="C29" s="46">
        <v>12</v>
      </c>
      <c r="D29" s="46">
        <v>1</v>
      </c>
      <c r="E29" s="25">
        <v>1.4</v>
      </c>
      <c r="G29" s="66">
        <v>1.7484425071361254</v>
      </c>
      <c r="H29" s="66">
        <v>0.86202030748171865</v>
      </c>
      <c r="I29" s="41"/>
      <c r="J29" s="93"/>
      <c r="K29" s="12"/>
      <c r="L29" s="68"/>
      <c r="M29" s="46"/>
      <c r="N29" s="25">
        <v>1.7000000000000001E-2</v>
      </c>
      <c r="O29" s="59">
        <v>1.7891438665223729E-2</v>
      </c>
      <c r="P29" s="31">
        <f>N29+O29</f>
        <v>3.4891438665223734E-2</v>
      </c>
      <c r="Q29" s="101">
        <f>(O29/E29)*1000</f>
        <v>12.779599046588379</v>
      </c>
      <c r="R29" s="17">
        <f>LOG((Q29/1000)*1000000/N29)</f>
        <v>5.876068306889664</v>
      </c>
      <c r="S29" s="20">
        <f>O29/(O29+N29)</f>
        <v>0.51277446129087567</v>
      </c>
      <c r="T29" s="12"/>
      <c r="U29" s="12"/>
      <c r="V29" s="87"/>
      <c r="W29" s="46"/>
      <c r="X29" s="33"/>
      <c r="Y29" s="33"/>
      <c r="Z29" s="12"/>
      <c r="AA29" s="12"/>
    </row>
    <row r="30" spans="1:27" x14ac:dyDescent="0.25">
      <c r="A30" s="46"/>
      <c r="B30" s="47"/>
      <c r="C30" s="46"/>
      <c r="D30" s="46">
        <v>2</v>
      </c>
      <c r="E30" s="25"/>
      <c r="G30" s="13"/>
      <c r="H30" s="71">
        <v>0.91224977994182777</v>
      </c>
      <c r="I30" s="43"/>
      <c r="J30" s="92"/>
      <c r="K30" s="13"/>
      <c r="L30" s="70"/>
      <c r="M30" s="46"/>
      <c r="N30" s="42"/>
      <c r="O30" s="63"/>
      <c r="P30" s="42"/>
      <c r="Q30" s="102" t="s">
        <v>1</v>
      </c>
      <c r="R30" s="13"/>
      <c r="S30" s="13"/>
      <c r="T30" s="12"/>
      <c r="U30" s="13"/>
      <c r="V30" s="86"/>
      <c r="W30" s="46"/>
      <c r="X30" s="33"/>
      <c r="Y30" s="33"/>
      <c r="Z30" s="12"/>
      <c r="AA30" s="12"/>
    </row>
    <row r="31" spans="1:27" x14ac:dyDescent="0.25">
      <c r="A31" s="46"/>
      <c r="B31" s="47"/>
      <c r="C31" s="46"/>
      <c r="D31" s="46"/>
      <c r="E31" s="25"/>
      <c r="G31" s="24">
        <f>G29</f>
        <v>1.7484425071361254</v>
      </c>
      <c r="H31" s="24">
        <f>AVERAGE(H29:H30)</f>
        <v>0.88713504371177321</v>
      </c>
      <c r="I31" s="24">
        <f>SUM(G31+H31)</f>
        <v>2.6355775508478985</v>
      </c>
      <c r="J31" s="88">
        <f>H31/E29</f>
        <v>0.63366788836555232</v>
      </c>
      <c r="K31" s="17">
        <f>LOG((J31)*1000000/G31)</f>
        <v>5.5592103431920883</v>
      </c>
      <c r="L31" s="20">
        <f>H31/(H31+G31)</f>
        <v>0.3365998634441133</v>
      </c>
      <c r="M31" s="46"/>
      <c r="N31" s="25"/>
      <c r="O31" s="31"/>
      <c r="P31" s="25"/>
      <c r="Q31" s="101" t="s">
        <v>1</v>
      </c>
      <c r="R31" s="12"/>
      <c r="S31" s="12"/>
      <c r="T31" s="12"/>
      <c r="U31" s="65">
        <f>N29/G29</f>
        <v>9.7229390904281319E-3</v>
      </c>
      <c r="V31" s="108">
        <f>(Q29/1000)/J31</f>
        <v>2.0167660822377104E-2</v>
      </c>
      <c r="W31" s="46"/>
      <c r="X31" s="33"/>
      <c r="Y31" s="33"/>
      <c r="Z31" s="12"/>
      <c r="AA31" s="12"/>
    </row>
    <row r="32" spans="1:27" x14ac:dyDescent="0.25">
      <c r="A32" s="46"/>
      <c r="B32" s="47"/>
      <c r="C32" s="46"/>
      <c r="D32" s="46"/>
      <c r="E32" s="25"/>
      <c r="G32" s="24"/>
      <c r="H32" s="24"/>
      <c r="I32" s="24"/>
      <c r="J32" s="88"/>
      <c r="K32" s="12"/>
      <c r="L32" s="68"/>
      <c r="M32" s="46"/>
      <c r="N32" s="25"/>
      <c r="O32" s="31"/>
      <c r="P32" s="25"/>
      <c r="Q32" s="87"/>
      <c r="R32" s="12"/>
      <c r="S32" s="12"/>
      <c r="T32" s="12"/>
      <c r="U32" s="12"/>
      <c r="V32" s="87"/>
      <c r="W32" s="46"/>
      <c r="X32" s="33"/>
      <c r="Y32" s="33"/>
      <c r="Z32" s="12"/>
      <c r="AA32" s="12"/>
    </row>
    <row r="33" spans="1:27" x14ac:dyDescent="0.25">
      <c r="A33" s="46"/>
      <c r="B33" s="46"/>
      <c r="C33" s="46"/>
      <c r="D33" s="46"/>
      <c r="E33" s="25"/>
      <c r="G33" s="12"/>
      <c r="H33" s="53"/>
      <c r="I33" s="12"/>
      <c r="J33" s="93"/>
      <c r="K33" s="12"/>
      <c r="L33" s="69"/>
      <c r="M33" s="46"/>
      <c r="N33" s="25"/>
      <c r="O33" s="31"/>
      <c r="P33" s="25"/>
      <c r="Q33" s="87"/>
      <c r="R33" s="12"/>
      <c r="S33" s="12"/>
      <c r="T33" s="12"/>
      <c r="U33" s="12"/>
      <c r="V33" s="87"/>
      <c r="W33" s="46"/>
      <c r="X33" s="33"/>
      <c r="Y33" s="33"/>
      <c r="Z33" s="12"/>
      <c r="AA33" s="12"/>
    </row>
    <row r="34" spans="1:27" x14ac:dyDescent="0.25">
      <c r="A34" s="46" t="s">
        <v>39</v>
      </c>
      <c r="B34" s="47">
        <v>41781</v>
      </c>
      <c r="C34" s="46">
        <v>7</v>
      </c>
      <c r="D34" s="46">
        <v>1</v>
      </c>
      <c r="E34" s="25">
        <v>1.7</v>
      </c>
      <c r="G34" s="66">
        <v>1.5633070872642345</v>
      </c>
      <c r="H34" s="66">
        <v>4.1975945044263376</v>
      </c>
      <c r="I34" s="24">
        <f>G34+H34</f>
        <v>5.7609015916905726</v>
      </c>
      <c r="J34" s="88">
        <f>H34/E34</f>
        <v>2.4691732378978459</v>
      </c>
      <c r="K34" s="17">
        <f>LOG((J34)*1000000/G34)</f>
        <v>6.1985072644573345</v>
      </c>
      <c r="L34" s="20">
        <f>H34/(H34+G34)</f>
        <v>0.72863499534185361</v>
      </c>
      <c r="M34" s="46"/>
      <c r="N34" s="25">
        <v>1.6E-2</v>
      </c>
      <c r="O34" s="59">
        <v>1.8676067806419155E-2</v>
      </c>
      <c r="P34" s="31">
        <f>N34+O34</f>
        <v>3.4676067806419159E-2</v>
      </c>
      <c r="Q34" s="101">
        <f>(O34/E34)*1000</f>
        <v>10.98592223907009</v>
      </c>
      <c r="R34" s="17">
        <f>LOG((Q34/1000)*1000000/N34)</f>
        <v>5.8367165380022641</v>
      </c>
      <c r="S34" s="20">
        <f>O34/(O34+N34)</f>
        <v>0.53858666763138241</v>
      </c>
      <c r="T34" s="12"/>
      <c r="U34" s="12"/>
      <c r="V34" s="87"/>
      <c r="W34" s="46"/>
      <c r="X34" s="33"/>
      <c r="Y34" s="33"/>
      <c r="Z34" s="12"/>
      <c r="AA34" s="12"/>
    </row>
    <row r="35" spans="1:27" x14ac:dyDescent="0.25">
      <c r="A35" s="46"/>
      <c r="B35" s="47"/>
      <c r="C35" s="46"/>
      <c r="D35" s="46">
        <v>2</v>
      </c>
      <c r="E35" s="25"/>
      <c r="G35" s="13"/>
      <c r="H35" s="55"/>
      <c r="I35" s="13"/>
      <c r="J35" s="86"/>
      <c r="K35" s="13"/>
      <c r="L35" s="13"/>
      <c r="M35" s="46"/>
      <c r="N35" s="42"/>
      <c r="O35" s="63"/>
      <c r="P35" s="42"/>
      <c r="Q35" s="86"/>
      <c r="R35" s="13"/>
      <c r="S35" s="13"/>
      <c r="T35" s="12"/>
      <c r="U35" s="13"/>
      <c r="V35" s="86"/>
      <c r="W35" s="46"/>
      <c r="X35" s="33"/>
      <c r="Y35" s="33"/>
      <c r="Z35" s="12"/>
      <c r="AA35" s="12"/>
    </row>
    <row r="36" spans="1:27" x14ac:dyDescent="0.25">
      <c r="A36" s="46"/>
      <c r="B36" s="47"/>
      <c r="C36" s="46"/>
      <c r="D36" s="46"/>
      <c r="E36" s="25"/>
      <c r="G36" s="12"/>
      <c r="H36" s="53"/>
      <c r="I36" s="12"/>
      <c r="J36" s="87"/>
      <c r="K36" s="12"/>
      <c r="L36" s="12"/>
      <c r="M36" s="46"/>
      <c r="N36" s="25"/>
      <c r="O36" s="31"/>
      <c r="P36" s="25"/>
      <c r="Q36" s="87"/>
      <c r="R36" s="12"/>
      <c r="S36" s="12"/>
      <c r="T36" s="12"/>
      <c r="U36" s="65">
        <f>N34/G34</f>
        <v>1.0234713403621662E-2</v>
      </c>
      <c r="V36" s="108">
        <f>(Q34/1000)/J34</f>
        <v>4.4492310504803054E-3</v>
      </c>
      <c r="W36" s="46"/>
      <c r="X36" s="33"/>
      <c r="Y36" s="33"/>
      <c r="Z36" s="12"/>
      <c r="AA36" s="12"/>
    </row>
    <row r="37" spans="1:27" x14ac:dyDescent="0.25">
      <c r="A37" s="46"/>
      <c r="B37" s="48"/>
      <c r="C37" s="46"/>
      <c r="D37" s="46"/>
      <c r="E37" s="25"/>
      <c r="G37" s="12"/>
      <c r="H37" s="53"/>
      <c r="I37" s="12"/>
      <c r="J37" s="87"/>
      <c r="K37" s="12"/>
      <c r="L37" s="12"/>
      <c r="M37" s="46"/>
      <c r="N37" s="12"/>
      <c r="O37" s="51"/>
      <c r="P37" s="12"/>
      <c r="Q37" s="87"/>
      <c r="R37" s="12"/>
      <c r="S37" s="12"/>
      <c r="T37" s="12"/>
      <c r="U37" s="12"/>
      <c r="V37" s="87"/>
      <c r="W37" s="46"/>
      <c r="X37" s="33"/>
      <c r="Y37" s="33"/>
      <c r="Z37" s="12"/>
      <c r="AA37" s="12"/>
    </row>
    <row r="38" spans="1:27" x14ac:dyDescent="0.25">
      <c r="A38" s="46" t="s">
        <v>39</v>
      </c>
      <c r="B38" s="47">
        <v>41781</v>
      </c>
      <c r="C38" s="46">
        <v>14</v>
      </c>
      <c r="D38" s="46">
        <v>1</v>
      </c>
      <c r="E38" s="25">
        <v>1.2</v>
      </c>
      <c r="G38" s="66">
        <v>1.6824725384699075</v>
      </c>
      <c r="H38" s="66">
        <v>1.4399344251248876</v>
      </c>
      <c r="I38" s="12"/>
      <c r="J38" s="87"/>
      <c r="K38" s="12"/>
      <c r="L38" s="12"/>
      <c r="M38" s="46"/>
      <c r="N38" s="25" t="s">
        <v>41</v>
      </c>
      <c r="O38" s="59">
        <v>1.4530948427424386E-2</v>
      </c>
      <c r="P38" s="12"/>
      <c r="Q38" s="87"/>
      <c r="R38" s="12"/>
      <c r="S38" s="12"/>
      <c r="T38" s="12"/>
      <c r="U38" s="12"/>
      <c r="V38" s="87"/>
      <c r="W38" s="46"/>
      <c r="X38" s="33"/>
      <c r="Y38" s="33"/>
      <c r="Z38" s="12"/>
      <c r="AA38" s="12"/>
    </row>
    <row r="39" spans="1:27" x14ac:dyDescent="0.25">
      <c r="A39" s="46"/>
      <c r="B39" s="46"/>
      <c r="C39" s="46"/>
      <c r="D39" s="46">
        <v>2</v>
      </c>
      <c r="E39" s="25"/>
      <c r="G39" s="13"/>
      <c r="H39" s="71">
        <v>1.4371240556940532</v>
      </c>
      <c r="I39" s="13"/>
      <c r="J39" s="86"/>
      <c r="K39" s="13"/>
      <c r="L39" s="13"/>
      <c r="M39" s="46"/>
      <c r="N39" s="13"/>
      <c r="O39" s="60">
        <v>1.6416649572002569E-2</v>
      </c>
      <c r="P39" s="13"/>
      <c r="Q39" s="86"/>
      <c r="R39" s="13"/>
      <c r="S39" s="13"/>
      <c r="T39" s="12"/>
      <c r="U39" s="13"/>
      <c r="V39" s="86"/>
      <c r="W39" s="46"/>
      <c r="X39" s="33"/>
      <c r="Y39" s="33"/>
      <c r="Z39" s="12"/>
      <c r="AA39" s="12"/>
    </row>
    <row r="40" spans="1:27" x14ac:dyDescent="0.25">
      <c r="A40" s="46"/>
      <c r="B40" s="46"/>
      <c r="C40" s="46"/>
      <c r="D40" s="46"/>
      <c r="E40" s="25"/>
      <c r="G40" s="24">
        <f>G38</f>
        <v>1.6824725384699075</v>
      </c>
      <c r="H40" s="24">
        <f>AVERAGE(H38:H39)</f>
        <v>1.4385292404094705</v>
      </c>
      <c r="I40" s="24">
        <f>SUM(G40+H40)</f>
        <v>3.121001778879378</v>
      </c>
      <c r="J40" s="88">
        <f>H40/E38</f>
        <v>1.1987743670078921</v>
      </c>
      <c r="K40" s="17">
        <f>LOG((J40)*1000000/G40)</f>
        <v>5.8527894636546947</v>
      </c>
      <c r="L40" s="20">
        <f>H40/(H40+G40)</f>
        <v>0.46091907096765145</v>
      </c>
      <c r="M40" s="46"/>
      <c r="N40" s="12"/>
      <c r="O40" s="31">
        <f>AVERAGE(O38:O39)</f>
        <v>1.5473798999713477E-2</v>
      </c>
      <c r="P40" s="31">
        <f>O40</f>
        <v>1.5473798999713477E-2</v>
      </c>
      <c r="Q40" s="101">
        <f>(O40/E38)*1000</f>
        <v>12.894832499761231</v>
      </c>
      <c r="R40" s="73" t="s">
        <v>42</v>
      </c>
      <c r="S40" s="73" t="s">
        <v>42</v>
      </c>
      <c r="T40" s="12"/>
      <c r="U40" s="73" t="s">
        <v>42</v>
      </c>
      <c r="V40" s="108">
        <f>(Q40/1000)/J40</f>
        <v>1.0756680201584873E-2</v>
      </c>
      <c r="W40" s="46"/>
      <c r="X40" s="33"/>
      <c r="Y40" s="33"/>
      <c r="Z40" s="12"/>
      <c r="AA40" s="12"/>
    </row>
    <row r="41" spans="1:27" ht="15.75" x14ac:dyDescent="0.25">
      <c r="A41" s="12"/>
      <c r="B41" s="25"/>
      <c r="C41" s="36"/>
      <c r="D41" s="36"/>
      <c r="E41" s="12"/>
      <c r="G41" s="12"/>
      <c r="H41" s="12"/>
      <c r="I41" s="12"/>
      <c r="J41" s="87"/>
      <c r="K41" s="12"/>
      <c r="L41" s="12"/>
      <c r="M41" s="36"/>
      <c r="N41" s="12">
        <v>8.9999999999999993E-3</v>
      </c>
      <c r="O41" s="12"/>
      <c r="P41" s="12"/>
      <c r="Q41" s="87"/>
      <c r="R41" s="17">
        <f>LOG((Q40/1000)*1000000/N41)</f>
        <v>6.1561731957083907</v>
      </c>
      <c r="S41" s="12"/>
      <c r="T41" s="12"/>
      <c r="U41" s="12"/>
      <c r="V41" s="87"/>
      <c r="W41" s="36"/>
      <c r="X41" s="33"/>
      <c r="Y41" s="33"/>
      <c r="Z41" s="12"/>
      <c r="AA41" s="12"/>
    </row>
    <row r="42" spans="1:27" ht="15.75" x14ac:dyDescent="0.25">
      <c r="A42" s="34" t="s">
        <v>33</v>
      </c>
      <c r="B42" s="12"/>
      <c r="C42" s="12"/>
      <c r="D42" s="12"/>
      <c r="E42" s="12"/>
      <c r="G42" s="12"/>
      <c r="H42" s="12"/>
      <c r="I42" s="12"/>
      <c r="J42" s="87"/>
      <c r="K42" s="12"/>
      <c r="L42" s="12"/>
      <c r="M42" s="12"/>
      <c r="N42" s="12"/>
      <c r="O42" s="12"/>
      <c r="P42" s="12"/>
      <c r="Q42" s="87"/>
      <c r="R42" s="12"/>
      <c r="S42" s="12"/>
      <c r="T42" s="12"/>
      <c r="U42" s="12"/>
      <c r="V42" s="87"/>
      <c r="W42" s="12"/>
      <c r="X42" s="33"/>
      <c r="Y42" s="33"/>
      <c r="Z42" s="12"/>
      <c r="AA42" s="12"/>
    </row>
    <row r="43" spans="1:27" x14ac:dyDescent="0.25">
      <c r="A43" s="12"/>
      <c r="B43" s="12"/>
      <c r="C43" s="37"/>
      <c r="D43" s="37"/>
      <c r="E43" s="12"/>
      <c r="G43" s="12"/>
      <c r="H43" s="12"/>
      <c r="I43" s="12"/>
      <c r="J43" s="87"/>
      <c r="K43" s="12"/>
      <c r="L43" s="20"/>
      <c r="M43" s="37"/>
      <c r="N43" s="12"/>
      <c r="O43" s="12"/>
      <c r="P43" s="12"/>
      <c r="Q43" s="87"/>
      <c r="R43" s="12"/>
      <c r="S43" s="12"/>
      <c r="T43" s="12"/>
      <c r="U43" s="12"/>
      <c r="V43" s="87"/>
      <c r="W43" s="37"/>
      <c r="X43" s="33"/>
      <c r="Y43" s="33"/>
      <c r="Z43" s="12"/>
      <c r="AA43" s="12"/>
    </row>
    <row r="44" spans="1:27" x14ac:dyDescent="0.25">
      <c r="A44" s="49" t="s">
        <v>27</v>
      </c>
      <c r="B44" s="47">
        <v>41892</v>
      </c>
      <c r="C44" s="50">
        <v>4</v>
      </c>
      <c r="D44" s="50">
        <v>1</v>
      </c>
      <c r="E44" s="16">
        <v>8.6</v>
      </c>
      <c r="G44" s="17">
        <v>1.22</v>
      </c>
      <c r="H44" s="59">
        <v>2.0522338756468437</v>
      </c>
      <c r="I44" s="24">
        <f>G44+H44</f>
        <v>3.2722338756468439</v>
      </c>
      <c r="J44" s="88">
        <f>H44/E44</f>
        <v>0.23863184600544696</v>
      </c>
      <c r="K44" s="17">
        <f>LOG((J44)*1000000/G44)</f>
        <v>5.2913685701915742</v>
      </c>
      <c r="L44" s="20">
        <f>H44/(H44+G44)</f>
        <v>0.62716601368878777</v>
      </c>
      <c r="M44" s="50"/>
      <c r="N44" s="21">
        <v>1.4999999999999999E-2</v>
      </c>
      <c r="O44" s="59">
        <v>8.88434601786613E-3</v>
      </c>
      <c r="P44" s="19"/>
      <c r="Q44" s="101"/>
      <c r="R44" s="17"/>
      <c r="S44" s="20"/>
      <c r="T44" s="22"/>
      <c r="U44" s="20"/>
      <c r="V44" s="109"/>
      <c r="W44" s="50"/>
      <c r="X44" s="23"/>
      <c r="Y44" s="23"/>
      <c r="Z44" s="24"/>
      <c r="AA44" s="9"/>
    </row>
    <row r="45" spans="1:27" x14ac:dyDescent="0.25">
      <c r="A45" s="47"/>
      <c r="B45" s="15"/>
      <c r="C45" s="39"/>
      <c r="D45" s="40">
        <v>2</v>
      </c>
      <c r="E45" s="16"/>
      <c r="G45" s="42"/>
      <c r="H45" s="42"/>
      <c r="I45" s="43"/>
      <c r="J45" s="94"/>
      <c r="K45" s="42"/>
      <c r="L45" s="64"/>
      <c r="M45" s="39"/>
      <c r="N45" s="63"/>
      <c r="O45" s="60">
        <v>9.2432604997831382E-3</v>
      </c>
      <c r="P45" s="42"/>
      <c r="Q45" s="97"/>
      <c r="R45" s="57"/>
      <c r="S45" s="42"/>
      <c r="T45" s="9"/>
      <c r="U45" s="13"/>
      <c r="V45" s="86"/>
      <c r="W45" s="39"/>
      <c r="X45" s="17"/>
      <c r="Y45" s="17"/>
      <c r="Z45" s="25"/>
      <c r="AA45" s="9"/>
    </row>
    <row r="46" spans="1:27" x14ac:dyDescent="0.25">
      <c r="A46" s="47"/>
      <c r="B46" s="15"/>
      <c r="C46" s="39"/>
      <c r="D46" s="40"/>
      <c r="E46" s="16"/>
      <c r="G46" s="25"/>
      <c r="H46" s="25"/>
      <c r="I46" s="41"/>
      <c r="J46" s="95"/>
      <c r="K46" s="25"/>
      <c r="L46" s="79"/>
      <c r="M46" s="39"/>
      <c r="N46" s="67">
        <f>N44</f>
        <v>1.4999999999999999E-2</v>
      </c>
      <c r="O46" s="31">
        <f>AVERAGE(O44:O45)</f>
        <v>9.0638032588246341E-3</v>
      </c>
      <c r="P46" s="31">
        <f>N46+O46</f>
        <v>2.4063803258824634E-2</v>
      </c>
      <c r="Q46" s="101">
        <f>(O46/E44)*1000</f>
        <v>1.0539306114912366</v>
      </c>
      <c r="R46" s="17">
        <f>LOG((Q46/1000)*1000000/N46)</f>
        <v>4.8467207597540014</v>
      </c>
      <c r="S46" s="20">
        <f>O46/(O46+N46)</f>
        <v>0.37665713774902865</v>
      </c>
      <c r="T46" s="9"/>
      <c r="U46" s="65">
        <f>N44/G44</f>
        <v>1.2295081967213115E-2</v>
      </c>
      <c r="V46" s="108">
        <f>(Q46/1000)/J44</f>
        <v>4.4165547437753959E-3</v>
      </c>
      <c r="W46" s="39"/>
      <c r="X46" s="17"/>
      <c r="Y46" s="17"/>
      <c r="Z46" s="25"/>
      <c r="AA46" s="9"/>
    </row>
    <row r="47" spans="1:27" x14ac:dyDescent="0.25">
      <c r="A47" s="47"/>
      <c r="B47" s="15"/>
      <c r="C47" s="39"/>
      <c r="D47" s="40"/>
      <c r="E47" s="16"/>
      <c r="G47" s="9"/>
      <c r="H47" s="9"/>
      <c r="I47" s="41"/>
      <c r="J47" s="96"/>
      <c r="K47" s="9"/>
      <c r="L47" s="20"/>
      <c r="M47" s="39"/>
      <c r="N47" s="21"/>
      <c r="O47" s="21"/>
      <c r="P47" s="9"/>
      <c r="Q47" s="98"/>
      <c r="R47" s="18"/>
      <c r="S47" s="9"/>
      <c r="T47" s="9"/>
      <c r="U47" s="9"/>
      <c r="V47" s="109"/>
      <c r="W47" s="39"/>
      <c r="X47" s="17"/>
      <c r="Y47" s="17"/>
      <c r="Z47" s="25"/>
      <c r="AA47" s="9"/>
    </row>
    <row r="48" spans="1:27" x14ac:dyDescent="0.25">
      <c r="A48" s="49" t="s">
        <v>27</v>
      </c>
      <c r="B48" s="47">
        <v>41892</v>
      </c>
      <c r="C48" s="50">
        <v>12</v>
      </c>
      <c r="D48" s="50">
        <v>1</v>
      </c>
      <c r="E48" s="26">
        <v>11.4</v>
      </c>
      <c r="G48" s="17">
        <v>1.62</v>
      </c>
      <c r="H48" s="59">
        <v>1.5188611351843297</v>
      </c>
      <c r="I48" s="41"/>
      <c r="J48" s="96"/>
      <c r="K48" s="17"/>
      <c r="L48" s="22"/>
      <c r="M48" s="50"/>
      <c r="N48" s="21" t="s">
        <v>41</v>
      </c>
      <c r="O48" s="59">
        <v>9.8361142699866198E-3</v>
      </c>
      <c r="P48" s="31">
        <f>O48</f>
        <v>9.8361142699866198E-3</v>
      </c>
      <c r="Q48" s="101">
        <f>(O48/E48)*1000</f>
        <v>0.8628170412268964</v>
      </c>
      <c r="R48" s="72" t="s">
        <v>42</v>
      </c>
      <c r="S48" s="72" t="s">
        <v>42</v>
      </c>
      <c r="T48" s="22"/>
      <c r="U48" s="20"/>
      <c r="V48" s="109"/>
      <c r="W48" s="50"/>
      <c r="X48" s="23"/>
      <c r="Y48" s="23"/>
      <c r="Z48" s="24"/>
      <c r="AA48" s="27"/>
    </row>
    <row r="49" spans="1:27" x14ac:dyDescent="0.25">
      <c r="A49" s="47"/>
      <c r="B49" s="15"/>
      <c r="C49" s="39"/>
      <c r="D49" s="40">
        <v>2</v>
      </c>
      <c r="E49" s="16"/>
      <c r="G49" s="56">
        <v>1.35</v>
      </c>
      <c r="H49" s="60">
        <v>1.7425108243003589</v>
      </c>
      <c r="I49" s="43"/>
      <c r="J49" s="94"/>
      <c r="K49" s="76"/>
      <c r="L49" s="77"/>
      <c r="M49" s="39"/>
      <c r="N49" s="63">
        <v>8.9999999999999993E-3</v>
      </c>
      <c r="O49" s="63"/>
      <c r="P49" s="63"/>
      <c r="Q49" s="105"/>
      <c r="R49" s="17">
        <f>LOG((Q48/1000)*1000000/N49)</f>
        <v>4.981676204689049</v>
      </c>
      <c r="S49" s="64"/>
      <c r="T49" s="22"/>
      <c r="U49" s="13"/>
      <c r="V49" s="86"/>
      <c r="W49" s="39"/>
      <c r="X49" s="30"/>
      <c r="Y49" s="30"/>
      <c r="Z49" s="24"/>
      <c r="AA49" s="9"/>
    </row>
    <row r="50" spans="1:27" x14ac:dyDescent="0.25">
      <c r="A50" s="47"/>
      <c r="B50" s="15"/>
      <c r="C50" s="39"/>
      <c r="D50" s="40"/>
      <c r="E50" s="16"/>
      <c r="G50" s="24">
        <f>AVERAGE(G48:G49)</f>
        <v>1.4850000000000001</v>
      </c>
      <c r="H50" s="24">
        <f>AVERAGE(H48:H49)</f>
        <v>1.6306859797423443</v>
      </c>
      <c r="I50" s="24">
        <f>SUM(G50+H50)</f>
        <v>3.1156859797423442</v>
      </c>
      <c r="J50" s="88">
        <f>H50/E48</f>
        <v>0.14304262980196003</v>
      </c>
      <c r="K50" s="17">
        <f>LOG((J50)*1000000/G50)</f>
        <v>4.9837390322643618</v>
      </c>
      <c r="L50" s="20">
        <f>H50/(H50+G50)</f>
        <v>0.52337943886026539</v>
      </c>
      <c r="M50" s="39"/>
      <c r="N50" s="21"/>
      <c r="O50" s="21"/>
      <c r="P50" s="21"/>
      <c r="Q50" s="106"/>
      <c r="R50" s="19"/>
      <c r="S50" s="20"/>
      <c r="T50" s="22"/>
      <c r="U50" s="83" t="s">
        <v>42</v>
      </c>
      <c r="V50" s="108">
        <f>(Q48/1000)/J50</f>
        <v>6.0318874339869953E-3</v>
      </c>
      <c r="W50" s="39"/>
      <c r="X50" s="30"/>
      <c r="Y50" s="30"/>
      <c r="Z50" s="24"/>
      <c r="AA50" s="9"/>
    </row>
    <row r="51" spans="1:27" x14ac:dyDescent="0.25">
      <c r="A51" s="47"/>
      <c r="B51" s="15"/>
      <c r="C51" s="39"/>
      <c r="D51" s="40"/>
      <c r="E51" s="16"/>
      <c r="G51" s="17"/>
      <c r="H51" s="18"/>
      <c r="I51" s="41"/>
      <c r="J51" s="96"/>
      <c r="K51" s="29"/>
      <c r="L51" s="22"/>
      <c r="M51" s="39"/>
      <c r="N51" s="21"/>
      <c r="O51" s="21"/>
      <c r="P51" s="21"/>
      <c r="Q51" s="106"/>
      <c r="R51" s="19"/>
      <c r="S51" s="20"/>
      <c r="T51" s="22"/>
      <c r="U51" s="9"/>
      <c r="V51" s="109"/>
      <c r="W51" s="39"/>
      <c r="X51" s="30"/>
      <c r="Y51" s="30"/>
      <c r="Z51" s="24"/>
      <c r="AA51" s="9"/>
    </row>
    <row r="52" spans="1:27" x14ac:dyDescent="0.25">
      <c r="A52" s="49" t="s">
        <v>28</v>
      </c>
      <c r="B52" s="47">
        <v>41892</v>
      </c>
      <c r="C52" s="50">
        <v>5</v>
      </c>
      <c r="D52" s="50">
        <v>1</v>
      </c>
      <c r="E52" s="16">
        <v>9.6999999999999993</v>
      </c>
      <c r="G52" s="17">
        <v>1.89</v>
      </c>
      <c r="H52" s="59">
        <v>4.8951401536317158</v>
      </c>
      <c r="I52" s="41"/>
      <c r="J52" s="96"/>
      <c r="K52" s="29"/>
      <c r="L52" s="20"/>
      <c r="M52" s="50"/>
      <c r="N52" s="21">
        <v>2.1999999999999999E-2</v>
      </c>
      <c r="O52" s="59">
        <v>2.4450657398440712E-2</v>
      </c>
      <c r="P52" s="31">
        <f>N52+O52</f>
        <v>4.645065739844071E-2</v>
      </c>
      <c r="Q52" s="101">
        <f>(O52/E52)*1000</f>
        <v>2.5206863297361561</v>
      </c>
      <c r="R52" s="17">
        <f>LOG((Q52/1000)*1000000/N52)</f>
        <v>5.0590961252904938</v>
      </c>
      <c r="S52" s="20">
        <f>O52/(O52+N52)</f>
        <v>0.52637914655781581</v>
      </c>
      <c r="T52" s="22"/>
      <c r="U52" s="20"/>
      <c r="V52" s="109"/>
      <c r="W52" s="50"/>
      <c r="X52" s="30"/>
      <c r="Y52" s="30"/>
      <c r="Z52" s="24"/>
      <c r="AA52" s="9"/>
    </row>
    <row r="53" spans="1:27" x14ac:dyDescent="0.25">
      <c r="A53" s="48"/>
      <c r="B53" s="15"/>
      <c r="C53" s="39"/>
      <c r="D53" s="40">
        <v>2</v>
      </c>
      <c r="E53" s="16"/>
      <c r="G53" s="56"/>
      <c r="H53" s="60">
        <v>5.5390611040081881</v>
      </c>
      <c r="I53" s="43"/>
      <c r="J53" s="94"/>
      <c r="K53" s="56"/>
      <c r="L53" s="64"/>
      <c r="M53" s="39"/>
      <c r="N53" s="63"/>
      <c r="O53" s="82"/>
      <c r="P53" s="63"/>
      <c r="Q53" s="102"/>
      <c r="R53" s="28"/>
      <c r="S53" s="64"/>
      <c r="T53" s="20"/>
      <c r="U53" s="13"/>
      <c r="V53" s="86"/>
      <c r="W53" s="39"/>
      <c r="X53" s="23"/>
      <c r="Y53" s="23"/>
      <c r="Z53" s="25"/>
      <c r="AA53" s="9"/>
    </row>
    <row r="54" spans="1:27" x14ac:dyDescent="0.25">
      <c r="A54" s="48"/>
      <c r="B54" s="15"/>
      <c r="C54" s="39"/>
      <c r="D54" s="40"/>
      <c r="E54" s="16"/>
      <c r="G54" s="24">
        <f>G52</f>
        <v>1.89</v>
      </c>
      <c r="H54" s="24">
        <f>AVERAGE(H52:H53)</f>
        <v>5.217100628819952</v>
      </c>
      <c r="I54" s="24">
        <f>SUM(G54+H54)</f>
        <v>7.1071006288199516</v>
      </c>
      <c r="J54" s="88">
        <f>H54/E52</f>
        <v>0.53784542565154148</v>
      </c>
      <c r="K54" s="17">
        <f>LOG((J54)*1000000/G54)</f>
        <v>5.4541956751507694</v>
      </c>
      <c r="L54" s="20">
        <f>H54/(H54+G54)</f>
        <v>0.73406877168224205</v>
      </c>
      <c r="M54" s="39"/>
      <c r="N54" s="21"/>
      <c r="O54" s="58"/>
      <c r="P54" s="21"/>
      <c r="Q54" s="101"/>
      <c r="R54" s="19"/>
      <c r="S54" s="20"/>
      <c r="T54" s="20"/>
      <c r="U54" s="65">
        <f>N52/G52</f>
        <v>1.164021164021164E-2</v>
      </c>
      <c r="V54" s="108">
        <f>(Q52/1000)/J54</f>
        <v>4.6866371070881895E-3</v>
      </c>
      <c r="W54" s="39"/>
      <c r="X54" s="23"/>
      <c r="Y54" s="23"/>
      <c r="Z54" s="25"/>
      <c r="AA54" s="9"/>
    </row>
    <row r="55" spans="1:27" x14ac:dyDescent="0.25">
      <c r="A55" s="48"/>
      <c r="B55" s="15"/>
      <c r="C55" s="39"/>
      <c r="D55" s="40"/>
      <c r="E55" s="16"/>
      <c r="G55" s="17"/>
      <c r="H55" s="18"/>
      <c r="I55" s="41"/>
      <c r="J55" s="96"/>
      <c r="K55" s="17"/>
      <c r="L55" s="20"/>
      <c r="M55" s="39"/>
      <c r="N55" s="21"/>
      <c r="O55" s="21"/>
      <c r="P55" s="21"/>
      <c r="Q55" s="101"/>
      <c r="R55" s="19"/>
      <c r="S55" s="20"/>
      <c r="T55" s="20"/>
      <c r="U55" s="20"/>
      <c r="V55" s="109"/>
      <c r="W55" s="39"/>
      <c r="X55" s="23"/>
      <c r="Y55" s="23"/>
      <c r="Z55" s="25"/>
      <c r="AA55" s="9"/>
    </row>
    <row r="56" spans="1:27" x14ac:dyDescent="0.25">
      <c r="A56" s="49" t="s">
        <v>28</v>
      </c>
      <c r="B56" s="47">
        <v>41892</v>
      </c>
      <c r="C56" s="50">
        <v>12</v>
      </c>
      <c r="D56" s="50">
        <v>1</v>
      </c>
      <c r="E56" s="16">
        <v>11.6</v>
      </c>
      <c r="G56" s="17">
        <v>1.72</v>
      </c>
      <c r="H56" s="59">
        <v>6.6908876125148309</v>
      </c>
      <c r="I56" s="24">
        <f>G56+H56</f>
        <v>8.4108876125148306</v>
      </c>
      <c r="J56" s="88">
        <f>H56/E56</f>
        <v>0.57680065625127852</v>
      </c>
      <c r="K56" s="17">
        <f>LOG((J56)*1000000/G56)</f>
        <v>5.5254972989198894</v>
      </c>
      <c r="L56" s="20">
        <f>H56/(H56+G56)</f>
        <v>0.79550315267074112</v>
      </c>
      <c r="M56" s="50"/>
      <c r="N56" s="21">
        <v>3.3000000000000002E-2</v>
      </c>
      <c r="O56" s="59">
        <v>2.9038508536502326E-2</v>
      </c>
      <c r="P56" s="21"/>
      <c r="Q56" s="101"/>
      <c r="R56" s="19"/>
      <c r="S56" s="20"/>
      <c r="T56" s="20"/>
      <c r="U56" s="20"/>
      <c r="V56" s="109"/>
      <c r="W56" s="50"/>
      <c r="X56" s="23"/>
      <c r="Y56" s="23"/>
      <c r="Z56" s="26"/>
      <c r="AA56" s="9"/>
    </row>
    <row r="57" spans="1:27" x14ac:dyDescent="0.25">
      <c r="A57" s="47"/>
      <c r="B57" s="15"/>
      <c r="C57" s="39"/>
      <c r="D57" s="40">
        <v>2</v>
      </c>
      <c r="E57" s="16"/>
      <c r="G57" s="42"/>
      <c r="H57" s="42"/>
      <c r="I57" s="43"/>
      <c r="J57" s="94"/>
      <c r="K57" s="42"/>
      <c r="L57" s="64"/>
      <c r="M57" s="39"/>
      <c r="N57" s="63"/>
      <c r="O57" s="60">
        <v>2.3632382561922481E-2</v>
      </c>
      <c r="P57" s="42"/>
      <c r="Q57" s="97"/>
      <c r="R57" s="63"/>
      <c r="S57" s="42"/>
      <c r="T57" s="9"/>
      <c r="U57" s="13"/>
      <c r="V57" s="86"/>
      <c r="W57" s="39"/>
      <c r="X57" s="17"/>
      <c r="Y57" s="17"/>
      <c r="Z57" s="25"/>
      <c r="AA57" s="9"/>
    </row>
    <row r="58" spans="1:27" x14ac:dyDescent="0.25">
      <c r="A58" s="47"/>
      <c r="B58" s="15"/>
      <c r="C58" s="39"/>
      <c r="D58" s="40"/>
      <c r="E58" s="16"/>
      <c r="G58" s="25"/>
      <c r="H58" s="25"/>
      <c r="I58" s="41"/>
      <c r="J58" s="95"/>
      <c r="K58" s="25"/>
      <c r="L58" s="79"/>
      <c r="M58" s="39"/>
      <c r="N58" s="67">
        <f>N56</f>
        <v>3.3000000000000002E-2</v>
      </c>
      <c r="O58" s="31">
        <f>AVERAGE(O56:O57)</f>
        <v>2.6335445549212404E-2</v>
      </c>
      <c r="P58" s="31">
        <f>N58+O58</f>
        <v>5.9335445549212405E-2</v>
      </c>
      <c r="Q58" s="101">
        <f>(O58/E56)*1000</f>
        <v>2.2702970301045173</v>
      </c>
      <c r="R58" s="17">
        <f>LOG((Q58/1000)*1000000/N58)</f>
        <v>4.8375687411462227</v>
      </c>
      <c r="S58" s="20">
        <f>O58/(O58+N58)</f>
        <v>0.44384002353820651</v>
      </c>
      <c r="T58" s="9"/>
      <c r="U58" s="65">
        <f>N56/G56</f>
        <v>1.9186046511627908E-2</v>
      </c>
      <c r="V58" s="108">
        <f>(Q58/1000)/J56</f>
        <v>3.9360167251881227E-3</v>
      </c>
      <c r="W58" s="39"/>
      <c r="X58" s="17"/>
      <c r="Y58" s="17"/>
      <c r="Z58" s="25"/>
      <c r="AA58" s="9"/>
    </row>
    <row r="59" spans="1:27" x14ac:dyDescent="0.25">
      <c r="A59" s="47"/>
      <c r="B59" s="15"/>
      <c r="C59" s="39"/>
      <c r="D59" s="40"/>
      <c r="E59" s="16"/>
      <c r="G59" s="9"/>
      <c r="H59" s="9"/>
      <c r="I59" s="41"/>
      <c r="J59" s="96"/>
      <c r="K59" s="9"/>
      <c r="L59" s="20"/>
      <c r="M59" s="39"/>
      <c r="N59" s="21"/>
      <c r="O59" s="21"/>
      <c r="P59" s="9"/>
      <c r="Q59" s="98"/>
      <c r="R59" s="21"/>
      <c r="S59" s="9"/>
      <c r="T59" s="9"/>
      <c r="U59" s="9"/>
      <c r="V59" s="109"/>
      <c r="W59" s="39"/>
      <c r="X59" s="17"/>
      <c r="Y59" s="17"/>
      <c r="Z59" s="25"/>
      <c r="AA59" s="9"/>
    </row>
    <row r="60" spans="1:27" x14ac:dyDescent="0.25">
      <c r="A60" s="49" t="s">
        <v>29</v>
      </c>
      <c r="B60" s="47">
        <v>41892</v>
      </c>
      <c r="C60" s="50">
        <v>7</v>
      </c>
      <c r="D60" s="50">
        <v>1</v>
      </c>
      <c r="E60" s="16">
        <v>18.399999999999999</v>
      </c>
      <c r="G60" s="17">
        <v>1.77</v>
      </c>
      <c r="H60" s="59">
        <v>5.2510170581429207</v>
      </c>
      <c r="I60" s="24">
        <f>G60+H60</f>
        <v>7.0210170581429203</v>
      </c>
      <c r="J60" s="88">
        <f>H60/E60</f>
        <v>0.28538136185559354</v>
      </c>
      <c r="K60" s="17">
        <f>LOG((J60)*1000000/G60)</f>
        <v>5.2074523397413301</v>
      </c>
      <c r="L60" s="20">
        <f>H60/(H60+G60)</f>
        <v>0.74789977216375403</v>
      </c>
      <c r="M60" s="50"/>
      <c r="N60" s="21">
        <v>1.7999999999999999E-2</v>
      </c>
      <c r="O60" s="59">
        <v>2.196864058047876E-2</v>
      </c>
      <c r="P60" s="21"/>
      <c r="Q60" s="101"/>
      <c r="R60" s="19"/>
      <c r="S60" s="20"/>
      <c r="T60" s="20"/>
      <c r="U60" s="20"/>
      <c r="V60" s="109"/>
      <c r="W60" s="50"/>
      <c r="X60" s="23"/>
      <c r="Y60" s="23"/>
      <c r="Z60" s="25"/>
      <c r="AA60" s="9"/>
    </row>
    <row r="61" spans="1:27" x14ac:dyDescent="0.25">
      <c r="A61" s="48"/>
      <c r="B61" s="15"/>
      <c r="C61" s="39"/>
      <c r="D61" s="40">
        <v>2</v>
      </c>
      <c r="E61" s="26"/>
      <c r="G61" s="57"/>
      <c r="H61" s="57"/>
      <c r="I61" s="43"/>
      <c r="J61" s="94"/>
      <c r="K61" s="56"/>
      <c r="L61" s="64"/>
      <c r="M61" s="39"/>
      <c r="N61" s="63">
        <v>1.2999999999999999E-2</v>
      </c>
      <c r="O61" s="63"/>
      <c r="P61" s="63"/>
      <c r="Q61" s="102"/>
      <c r="R61" s="56"/>
      <c r="S61" s="64"/>
      <c r="T61" s="20"/>
      <c r="U61" s="13"/>
      <c r="V61" s="86"/>
      <c r="W61" s="39"/>
      <c r="X61" s="10"/>
      <c r="Y61" s="10"/>
      <c r="Z61" s="25"/>
      <c r="AA61" s="9"/>
    </row>
    <row r="62" spans="1:27" x14ac:dyDescent="0.25">
      <c r="A62" s="48"/>
      <c r="B62" s="15"/>
      <c r="C62" s="39"/>
      <c r="D62" s="40"/>
      <c r="E62" s="26"/>
      <c r="G62" s="24"/>
      <c r="H62" s="24"/>
      <c r="I62" s="41"/>
      <c r="J62" s="95"/>
      <c r="K62" s="78"/>
      <c r="L62" s="79"/>
      <c r="M62" s="39"/>
      <c r="N62" s="31">
        <f>AVERAGE(N60:N61)</f>
        <v>1.55E-2</v>
      </c>
      <c r="O62" s="67">
        <f>O60</f>
        <v>2.196864058047876E-2</v>
      </c>
      <c r="P62" s="31">
        <f>N62+O62</f>
        <v>3.746864058047876E-2</v>
      </c>
      <c r="Q62" s="101">
        <f>(O62/E60)*1000</f>
        <v>1.1939478576347153</v>
      </c>
      <c r="R62" s="17">
        <f>LOG((Q62/1000)*1000000/N62)</f>
        <v>4.8866536624287615</v>
      </c>
      <c r="S62" s="20">
        <f>O62/(O62+N62)</f>
        <v>0.58632072688338921</v>
      </c>
      <c r="T62" s="20"/>
      <c r="U62" s="65">
        <f>N62/G60</f>
        <v>8.7570621468926555E-3</v>
      </c>
      <c r="V62" s="108">
        <f>(Q62/1000)/J60</f>
        <v>4.1836924803760221E-3</v>
      </c>
      <c r="W62" s="39"/>
      <c r="X62" s="10"/>
      <c r="Y62" s="10"/>
      <c r="Z62" s="25"/>
      <c r="AA62" s="9"/>
    </row>
    <row r="63" spans="1:27" x14ac:dyDescent="0.25">
      <c r="A63" s="48"/>
      <c r="B63" s="15"/>
      <c r="C63" s="39"/>
      <c r="D63" s="40"/>
      <c r="E63" s="26"/>
      <c r="G63" s="18"/>
      <c r="H63" s="18"/>
      <c r="I63" s="41"/>
      <c r="J63" s="96"/>
      <c r="K63" s="17"/>
      <c r="L63" s="20"/>
      <c r="M63" s="39"/>
      <c r="N63" s="21"/>
      <c r="O63" s="21"/>
      <c r="P63" s="21"/>
      <c r="Q63" s="101"/>
      <c r="R63" s="17"/>
      <c r="S63" s="20"/>
      <c r="T63" s="20"/>
      <c r="U63" s="20"/>
      <c r="V63" s="110"/>
      <c r="W63" s="39"/>
      <c r="X63" s="10"/>
      <c r="Y63" s="10"/>
      <c r="Z63" s="25"/>
      <c r="AA63" s="9"/>
    </row>
    <row r="64" spans="1:27" x14ac:dyDescent="0.25">
      <c r="A64" s="49" t="s">
        <v>30</v>
      </c>
      <c r="B64" s="47">
        <v>41893</v>
      </c>
      <c r="C64" s="50">
        <v>10</v>
      </c>
      <c r="D64" s="50">
        <v>1</v>
      </c>
      <c r="E64" s="16">
        <v>6.4</v>
      </c>
      <c r="G64" s="52">
        <v>1.3178911695937632</v>
      </c>
      <c r="H64" s="18" t="s">
        <v>41</v>
      </c>
      <c r="I64" s="41"/>
      <c r="J64" s="96"/>
      <c r="K64" s="17"/>
      <c r="L64" s="8"/>
      <c r="M64" s="50"/>
      <c r="N64" s="21">
        <v>1.03</v>
      </c>
      <c r="O64" s="59">
        <v>3.1269841742165372E-3</v>
      </c>
      <c r="P64" s="31">
        <f>O64</f>
        <v>3.1269841742165372E-3</v>
      </c>
      <c r="Q64" s="101">
        <f>(O64/E64)*1000</f>
        <v>0.48859127722133389</v>
      </c>
      <c r="R64" s="72" t="s">
        <v>42</v>
      </c>
      <c r="S64" s="72" t="s">
        <v>42</v>
      </c>
      <c r="T64" s="20"/>
      <c r="U64" s="20"/>
      <c r="V64" s="110"/>
      <c r="W64" s="50"/>
      <c r="X64" s="10"/>
      <c r="Y64" s="10"/>
      <c r="Z64" s="24"/>
      <c r="AA64" s="9"/>
    </row>
    <row r="65" spans="1:27" x14ac:dyDescent="0.25">
      <c r="A65" s="48"/>
      <c r="B65" s="15"/>
      <c r="C65" s="39"/>
      <c r="D65" s="40">
        <v>2</v>
      </c>
      <c r="E65" s="9"/>
      <c r="G65" s="42">
        <v>0.75</v>
      </c>
      <c r="H65" s="80">
        <v>7.8851118251566057E-2</v>
      </c>
      <c r="I65" s="42"/>
      <c r="J65" s="97"/>
      <c r="K65" s="42"/>
      <c r="L65" s="81"/>
      <c r="M65" s="39"/>
      <c r="N65" s="81"/>
      <c r="O65" s="82"/>
      <c r="P65" s="81"/>
      <c r="Q65" s="107"/>
      <c r="R65" s="17">
        <f>LOG((Q64/1000)*1000000/N64)</f>
        <v>2.676108484578875</v>
      </c>
      <c r="S65" s="81"/>
      <c r="T65" s="8"/>
      <c r="U65" s="13"/>
      <c r="V65" s="86"/>
      <c r="W65" s="39"/>
      <c r="X65" s="10"/>
      <c r="Y65" s="10"/>
      <c r="Z65" s="10"/>
      <c r="AA65" s="10"/>
    </row>
    <row r="66" spans="1:27" x14ac:dyDescent="0.25">
      <c r="A66" s="48"/>
      <c r="B66" s="15"/>
      <c r="C66" s="39"/>
      <c r="D66" s="40"/>
      <c r="E66" s="9"/>
      <c r="G66" s="24">
        <f>AVERAGE(G64:G65)</f>
        <v>1.0339455847968817</v>
      </c>
      <c r="H66" s="24">
        <f>H65</f>
        <v>7.8851118251566057E-2</v>
      </c>
      <c r="I66" s="24">
        <f>SUM(G66+H66)</f>
        <v>1.1127967030484478</v>
      </c>
      <c r="J66" s="88">
        <f>H66/E64</f>
        <v>1.2320487226807196E-2</v>
      </c>
      <c r="K66" s="17">
        <f>LOG((J66)*1000000/G66)</f>
        <v>4.0761301997973902</v>
      </c>
      <c r="L66" s="20">
        <f>H66/(H66+G66)</f>
        <v>7.085851174393093E-2</v>
      </c>
      <c r="M66" s="39"/>
      <c r="N66" s="8"/>
      <c r="O66" s="67"/>
      <c r="P66" s="31"/>
      <c r="Q66" s="101"/>
      <c r="R66" s="17"/>
      <c r="S66" s="20"/>
      <c r="T66" s="8"/>
      <c r="U66" s="72" t="s">
        <v>42</v>
      </c>
      <c r="V66" s="108">
        <f>(Q64/1000)/J66</f>
        <v>3.9656814558294895E-2</v>
      </c>
      <c r="W66" s="39"/>
      <c r="X66" s="10"/>
      <c r="Y66" s="10"/>
      <c r="Z66" s="10"/>
      <c r="AA66" s="10"/>
    </row>
    <row r="67" spans="1:27" x14ac:dyDescent="0.25">
      <c r="A67" s="48"/>
      <c r="B67" s="15"/>
      <c r="C67" s="39"/>
      <c r="D67" s="40"/>
      <c r="E67" s="9"/>
      <c r="G67" s="9"/>
      <c r="H67" s="9"/>
      <c r="I67" s="9"/>
      <c r="J67" s="98"/>
      <c r="K67" s="9"/>
      <c r="L67" s="8"/>
      <c r="M67" s="39"/>
      <c r="N67" s="8"/>
      <c r="O67" s="58"/>
      <c r="P67" s="8"/>
      <c r="Q67" s="100"/>
      <c r="R67" s="8"/>
      <c r="S67" s="8"/>
      <c r="T67" s="8"/>
      <c r="U67" s="8"/>
      <c r="V67" s="100"/>
      <c r="W67" s="39"/>
      <c r="X67" s="10"/>
      <c r="Y67" s="10"/>
      <c r="Z67" s="10"/>
      <c r="AA67" s="10"/>
    </row>
    <row r="68" spans="1:27" x14ac:dyDescent="0.25">
      <c r="A68" s="49" t="s">
        <v>30</v>
      </c>
      <c r="B68" s="47">
        <v>41893</v>
      </c>
      <c r="C68" s="50">
        <v>40</v>
      </c>
      <c r="D68" s="50">
        <v>1</v>
      </c>
      <c r="E68" s="16">
        <v>9</v>
      </c>
      <c r="G68" s="52">
        <v>0.67427608864980959</v>
      </c>
      <c r="H68" s="74">
        <v>4.903260326024389E-2</v>
      </c>
      <c r="I68" s="24">
        <f>G68+H68</f>
        <v>0.72330869191005354</v>
      </c>
      <c r="J68" s="88">
        <f>H68/E68</f>
        <v>5.4480670289159877E-3</v>
      </c>
      <c r="K68" s="17">
        <f>LOG((J68)*1000000/G68)</f>
        <v>3.9074046832817015</v>
      </c>
      <c r="L68" s="20">
        <f>H68/(H68+G68)</f>
        <v>6.7789318459263448E-2</v>
      </c>
      <c r="M68" s="50"/>
      <c r="N68" s="9" t="s">
        <v>41</v>
      </c>
      <c r="O68" s="59">
        <v>2.5776626699985034E-3</v>
      </c>
      <c r="P68" s="8"/>
      <c r="Q68" s="100"/>
      <c r="R68" s="8"/>
      <c r="S68" s="8"/>
      <c r="T68" s="8"/>
      <c r="U68" s="8"/>
      <c r="V68" s="100"/>
      <c r="W68" s="50"/>
      <c r="X68" s="10"/>
      <c r="Y68" s="10"/>
      <c r="Z68" s="10"/>
      <c r="AA68" s="10"/>
    </row>
    <row r="69" spans="1:27" x14ac:dyDescent="0.25">
      <c r="A69" s="48"/>
      <c r="B69" s="15"/>
      <c r="C69" s="39"/>
      <c r="D69" s="40">
        <v>2</v>
      </c>
      <c r="E69" s="9"/>
      <c r="G69" s="42"/>
      <c r="H69" s="42"/>
      <c r="I69" s="42"/>
      <c r="J69" s="97"/>
      <c r="K69" s="42"/>
      <c r="L69" s="81"/>
      <c r="M69" s="39"/>
      <c r="N69" s="42"/>
      <c r="O69" s="60">
        <v>1.1980898337682374E-3</v>
      </c>
      <c r="P69" s="81"/>
      <c r="Q69" s="107"/>
      <c r="R69" s="81"/>
      <c r="S69" s="81"/>
      <c r="T69" s="8"/>
      <c r="U69" s="13"/>
      <c r="V69" s="86"/>
      <c r="W69" s="39"/>
      <c r="Z69" s="10"/>
      <c r="AA69" s="10"/>
    </row>
    <row r="70" spans="1:27" x14ac:dyDescent="0.25">
      <c r="A70" s="48"/>
      <c r="B70" s="15"/>
      <c r="C70" s="39"/>
      <c r="D70" s="40"/>
      <c r="E70" s="9"/>
      <c r="G70" s="25"/>
      <c r="H70" s="25"/>
      <c r="I70" s="25"/>
      <c r="J70" s="99"/>
      <c r="K70" s="25"/>
      <c r="L70" s="10"/>
      <c r="M70" s="39"/>
      <c r="N70" s="25">
        <v>0.67</v>
      </c>
      <c r="O70" s="31">
        <f>AVERAGE(O68:O69)</f>
        <v>1.8878762518833704E-3</v>
      </c>
      <c r="P70" s="31">
        <f>O70</f>
        <v>1.8878762518833704E-3</v>
      </c>
      <c r="Q70" s="101">
        <f>(O70/E68)*1000</f>
        <v>0.20976402798704116</v>
      </c>
      <c r="R70" s="72" t="s">
        <v>42</v>
      </c>
      <c r="S70" s="72" t="s">
        <v>42</v>
      </c>
      <c r="T70" s="8"/>
      <c r="U70" s="72" t="s">
        <v>42</v>
      </c>
      <c r="V70" s="108">
        <f>(Q70/1000)/J68</f>
        <v>3.8502468283467192E-2</v>
      </c>
      <c r="W70" s="39"/>
      <c r="Z70" s="10"/>
      <c r="AA70" s="10"/>
    </row>
    <row r="71" spans="1:27" x14ac:dyDescent="0.25">
      <c r="A71" s="48"/>
      <c r="B71" s="15"/>
      <c r="C71" s="39"/>
      <c r="D71" s="40"/>
      <c r="E71" s="9"/>
      <c r="G71" s="9"/>
      <c r="H71" s="9"/>
      <c r="I71" s="9"/>
      <c r="J71" s="98"/>
      <c r="K71" s="9"/>
      <c r="L71" s="8"/>
      <c r="M71" s="39"/>
      <c r="N71" s="9"/>
      <c r="O71" s="21"/>
      <c r="P71" s="8"/>
      <c r="Q71" s="100"/>
      <c r="R71" s="17">
        <f>LOG((Q70/1000)*1000000/N70)</f>
        <v>2.4956562112511573</v>
      </c>
      <c r="S71" s="8"/>
      <c r="T71" s="8"/>
      <c r="U71" s="8"/>
      <c r="V71" s="100"/>
      <c r="W71" s="39"/>
      <c r="Z71" s="10"/>
      <c r="AA71" s="10"/>
    </row>
    <row r="72" spans="1:27" x14ac:dyDescent="0.25">
      <c r="A72" s="49" t="s">
        <v>31</v>
      </c>
      <c r="B72" s="47">
        <v>41893</v>
      </c>
      <c r="C72" s="50">
        <v>10</v>
      </c>
      <c r="D72" s="50">
        <v>1</v>
      </c>
      <c r="E72" s="16">
        <v>6</v>
      </c>
      <c r="G72" s="9">
        <v>0.75</v>
      </c>
      <c r="H72" s="74">
        <v>9.9709578174366084E-2</v>
      </c>
      <c r="I72" s="24">
        <f>G72+H72</f>
        <v>0.8497095781743661</v>
      </c>
      <c r="J72" s="88">
        <f>H72/E72</f>
        <v>1.6618263029061015E-2</v>
      </c>
      <c r="K72" s="17">
        <f>LOG((J72)*1000000/G72)</f>
        <v>4.3455243651829845</v>
      </c>
      <c r="L72" s="20">
        <f>H72/(H72+G72)</f>
        <v>0.11734547983864789</v>
      </c>
      <c r="M72" s="50"/>
      <c r="N72" s="9" t="s">
        <v>41</v>
      </c>
      <c r="O72" s="59">
        <v>2.469860451989582E-3</v>
      </c>
      <c r="P72" s="8"/>
      <c r="Q72" s="100"/>
      <c r="R72" s="8"/>
      <c r="S72" s="8"/>
      <c r="T72" s="8"/>
      <c r="U72" s="8"/>
      <c r="V72" s="100"/>
      <c r="W72" s="50"/>
      <c r="Z72" s="10"/>
      <c r="AA72" s="10"/>
    </row>
    <row r="73" spans="1:27" x14ac:dyDescent="0.25">
      <c r="A73" s="48"/>
      <c r="B73" s="32"/>
      <c r="C73" s="40"/>
      <c r="D73" s="40">
        <v>2</v>
      </c>
      <c r="E73" s="9"/>
      <c r="G73" s="42"/>
      <c r="H73" s="42"/>
      <c r="I73" s="42"/>
      <c r="J73" s="97"/>
      <c r="K73" s="42"/>
      <c r="L73" s="81"/>
      <c r="M73" s="40"/>
      <c r="N73" s="81"/>
      <c r="O73" s="60">
        <v>1.9797478139454432E-3</v>
      </c>
      <c r="P73" s="81"/>
      <c r="Q73" s="107"/>
      <c r="R73" s="81"/>
      <c r="S73" s="81"/>
      <c r="T73" s="8"/>
      <c r="U73" s="13"/>
      <c r="V73" s="86"/>
      <c r="W73" s="40"/>
      <c r="Z73" s="10"/>
      <c r="AA73" s="10"/>
    </row>
    <row r="74" spans="1:27" x14ac:dyDescent="0.25">
      <c r="A74" s="48"/>
      <c r="B74" s="32"/>
      <c r="C74" s="40"/>
      <c r="D74" s="40"/>
      <c r="E74" s="9"/>
      <c r="G74" s="25"/>
      <c r="H74" s="25"/>
      <c r="I74" s="25"/>
      <c r="J74" s="99"/>
      <c r="K74" s="25"/>
      <c r="L74" s="10"/>
      <c r="M74" s="40"/>
      <c r="N74" s="8">
        <v>1.2999999999999999E-2</v>
      </c>
      <c r="O74" s="31">
        <f>AVERAGE(O72:O73)</f>
        <v>2.2248041329675124E-3</v>
      </c>
      <c r="P74" s="31">
        <f>O74</f>
        <v>2.2248041329675124E-3</v>
      </c>
      <c r="Q74" s="101">
        <f>(O74/E72)*1000</f>
        <v>0.37080068882791872</v>
      </c>
      <c r="R74" s="72" t="s">
        <v>42</v>
      </c>
      <c r="S74" s="72" t="s">
        <v>42</v>
      </c>
      <c r="T74" s="8"/>
      <c r="U74" s="72" t="s">
        <v>42</v>
      </c>
      <c r="V74" s="108">
        <f>(Q74/1000)/J72</f>
        <v>2.2312842694780125E-2</v>
      </c>
      <c r="W74" s="40"/>
      <c r="Z74" s="10"/>
      <c r="AA74" s="10"/>
    </row>
    <row r="75" spans="1:27" x14ac:dyDescent="0.25">
      <c r="A75" s="48"/>
      <c r="B75" s="32"/>
      <c r="C75" s="40"/>
      <c r="D75" s="40"/>
      <c r="E75" s="9"/>
      <c r="G75" s="9"/>
      <c r="H75" s="75"/>
      <c r="I75" s="9"/>
      <c r="J75" s="98"/>
      <c r="K75" s="9"/>
      <c r="L75" s="8"/>
      <c r="M75" s="40"/>
      <c r="N75" s="8"/>
      <c r="O75" s="58"/>
      <c r="P75" s="8"/>
      <c r="Q75" s="100"/>
      <c r="R75" s="17">
        <f>LOG((Q74/1000)*1000000/N74)</f>
        <v>4.4551971799452508</v>
      </c>
      <c r="S75" s="8"/>
      <c r="T75" s="8"/>
      <c r="U75" s="8"/>
      <c r="V75" s="100"/>
      <c r="W75" s="40"/>
      <c r="Z75" s="10"/>
      <c r="AA75" s="10"/>
    </row>
    <row r="76" spans="1:27" x14ac:dyDescent="0.25">
      <c r="A76" s="49" t="s">
        <v>31</v>
      </c>
      <c r="B76" s="47">
        <v>41893</v>
      </c>
      <c r="C76" s="50">
        <v>50</v>
      </c>
      <c r="D76" s="50">
        <v>1</v>
      </c>
      <c r="E76" s="9">
        <v>8.3000000000000007</v>
      </c>
      <c r="G76" s="9">
        <v>1.65</v>
      </c>
      <c r="H76" s="74">
        <v>5.2104034376750784E-2</v>
      </c>
      <c r="I76" s="9"/>
      <c r="J76" s="98"/>
      <c r="K76" s="9"/>
      <c r="L76" s="8"/>
      <c r="M76" s="50"/>
      <c r="N76" s="9">
        <v>2.5999999999999999E-2</v>
      </c>
      <c r="O76" s="59">
        <v>2.1606425255157407E-3</v>
      </c>
      <c r="P76" s="8"/>
      <c r="Q76" s="100"/>
      <c r="R76" s="8"/>
      <c r="S76" s="8"/>
      <c r="T76" s="8"/>
      <c r="U76" s="8"/>
      <c r="V76" s="100"/>
      <c r="W76" s="50"/>
      <c r="Z76" s="10"/>
      <c r="AA76" s="10"/>
    </row>
    <row r="77" spans="1:27" x14ac:dyDescent="0.25">
      <c r="A77" s="48"/>
      <c r="B77" s="15"/>
      <c r="C77" s="38"/>
      <c r="D77" s="40">
        <v>2</v>
      </c>
      <c r="E77" s="9"/>
      <c r="G77" s="42">
        <v>0.48</v>
      </c>
      <c r="H77" s="81"/>
      <c r="I77" s="42"/>
      <c r="J77" s="97"/>
      <c r="K77" s="42"/>
      <c r="L77" s="81"/>
      <c r="M77" s="38"/>
      <c r="N77" s="42">
        <v>3.6999999999999998E-2</v>
      </c>
      <c r="O77" s="81"/>
      <c r="P77" s="81"/>
      <c r="Q77" s="107"/>
      <c r="R77" s="81"/>
      <c r="S77" s="81"/>
      <c r="T77" s="8"/>
      <c r="U77" s="13"/>
      <c r="V77" s="86"/>
      <c r="W77" s="38"/>
      <c r="Z77" s="10"/>
      <c r="AA77" s="10"/>
    </row>
    <row r="78" spans="1:27" x14ac:dyDescent="0.25">
      <c r="B78" s="8"/>
      <c r="C78" s="8"/>
      <c r="D78" s="8"/>
      <c r="E78" s="9"/>
      <c r="G78" s="24">
        <f>AVERAGE(G76:G77)</f>
        <v>1.0649999999999999</v>
      </c>
      <c r="H78" s="24">
        <f>H76</f>
        <v>5.2104034376750784E-2</v>
      </c>
      <c r="I78" s="24">
        <f>SUM(G78+H78)</f>
        <v>1.1171040343767507</v>
      </c>
      <c r="J78" s="88">
        <f>H78/E76</f>
        <v>6.277594503222985E-3</v>
      </c>
      <c r="K78" s="17">
        <f>LOG((J78)*1000000/G78)</f>
        <v>3.770443651550361</v>
      </c>
      <c r="L78" s="20">
        <f>H78/(H78+G78)</f>
        <v>4.6642060876470132E-2</v>
      </c>
      <c r="M78" s="8"/>
      <c r="N78" s="31">
        <f>AVERAGE(N76:N77)</f>
        <v>3.15E-2</v>
      </c>
      <c r="O78" s="67">
        <f>O76</f>
        <v>2.1606425255157407E-3</v>
      </c>
      <c r="P78" s="31">
        <f>N78+O78</f>
        <v>3.366064252551574E-2</v>
      </c>
      <c r="Q78" s="101">
        <f>(O78/E76)*1000</f>
        <v>0.26031837656816154</v>
      </c>
      <c r="R78" s="17">
        <f>LOG((Q78/1000)*1000000/N78)</f>
        <v>3.9171942734070258</v>
      </c>
      <c r="S78" s="20">
        <f>O78/(O78+N78)</f>
        <v>6.4188986406837345E-2</v>
      </c>
      <c r="T78" s="8"/>
      <c r="U78" s="65">
        <f>N78/G78</f>
        <v>2.9577464788732397E-2</v>
      </c>
      <c r="V78" s="108">
        <f>(Q78/1000)/J78</f>
        <v>4.146785467498916E-2</v>
      </c>
      <c r="W78" s="8"/>
      <c r="Z78" s="10"/>
      <c r="AA78" s="10"/>
    </row>
    <row r="79" spans="1:27" x14ac:dyDescent="0.25">
      <c r="B79" s="8"/>
      <c r="C79" s="8"/>
      <c r="D79" s="8"/>
      <c r="E79" s="9"/>
      <c r="G79" s="8"/>
      <c r="H79" s="8"/>
      <c r="I79" s="8"/>
      <c r="J79" s="100"/>
      <c r="K79" s="9"/>
      <c r="L79" s="8"/>
      <c r="M79" s="8"/>
      <c r="N79" s="8"/>
      <c r="O79" s="8"/>
      <c r="P79" s="8"/>
      <c r="Q79" s="100"/>
      <c r="R79" s="8"/>
      <c r="S79" s="8"/>
      <c r="T79" s="8"/>
      <c r="U79" s="8"/>
      <c r="V79" s="100"/>
      <c r="W79" s="8"/>
      <c r="Z79" s="10"/>
      <c r="AA79" s="10"/>
    </row>
    <row r="80" spans="1:27" x14ac:dyDescent="0.25">
      <c r="B80" s="8"/>
      <c r="C80" s="8"/>
      <c r="D80" s="8"/>
      <c r="E80" s="9"/>
      <c r="G80" s="8"/>
      <c r="H80" s="8"/>
      <c r="I80" s="8"/>
      <c r="J80" s="100"/>
      <c r="K80" s="9"/>
      <c r="L80" s="8"/>
      <c r="M80" s="8"/>
      <c r="N80" s="8"/>
      <c r="O80" s="8"/>
      <c r="P80" s="8"/>
      <c r="Q80" s="100"/>
      <c r="R80" s="8"/>
      <c r="S80" s="8"/>
      <c r="T80" s="8"/>
      <c r="U80" s="8"/>
      <c r="V80" s="100"/>
      <c r="W80" s="8"/>
      <c r="Z80" s="10"/>
      <c r="AA80" s="10"/>
    </row>
    <row r="81" spans="2:27" x14ac:dyDescent="0.25">
      <c r="B81" s="8"/>
      <c r="C81" s="8"/>
      <c r="D81" s="8"/>
      <c r="E81" s="9"/>
      <c r="G81" s="8"/>
      <c r="H81" s="8"/>
      <c r="I81" s="8"/>
      <c r="J81" s="100"/>
      <c r="K81" s="9"/>
      <c r="L81" s="8"/>
      <c r="M81" s="8"/>
      <c r="N81" s="8"/>
      <c r="O81" s="8"/>
      <c r="P81" s="8"/>
      <c r="Q81" s="100"/>
      <c r="R81" s="8"/>
      <c r="S81" s="8"/>
      <c r="T81" s="8"/>
      <c r="U81" s="8"/>
      <c r="V81" s="100"/>
      <c r="W81" s="8"/>
      <c r="Z81" s="10"/>
      <c r="AA81" s="10"/>
    </row>
    <row r="82" spans="2:27" x14ac:dyDescent="0.25">
      <c r="B82" s="8"/>
      <c r="C82" s="8"/>
      <c r="D82" s="8"/>
      <c r="E82" s="9"/>
      <c r="G82" s="8"/>
      <c r="H82" s="8"/>
      <c r="I82" s="8"/>
      <c r="J82" s="100"/>
      <c r="K82" s="8"/>
      <c r="L82" s="8"/>
      <c r="M82" s="8"/>
      <c r="N82" s="8"/>
      <c r="O82" s="8"/>
      <c r="P82" s="8"/>
      <c r="Q82" s="100"/>
      <c r="R82" s="8"/>
      <c r="S82" s="8"/>
      <c r="T82" s="8"/>
      <c r="U82" s="8"/>
      <c r="V82" s="100"/>
      <c r="W82" s="8"/>
      <c r="Z82" s="10"/>
      <c r="AA82" s="10"/>
    </row>
    <row r="83" spans="2:27" x14ac:dyDescent="0.25">
      <c r="B83" s="8"/>
      <c r="C83" s="8"/>
      <c r="D83" s="8"/>
      <c r="E83" s="9"/>
      <c r="G83" s="8"/>
      <c r="H83" s="8"/>
      <c r="K83" s="8"/>
      <c r="L83" s="8"/>
      <c r="M83" s="8"/>
      <c r="N83" s="8"/>
      <c r="O83" s="8"/>
      <c r="P83" s="8"/>
      <c r="Q83" s="100"/>
      <c r="R83" s="8"/>
      <c r="S83" s="8"/>
      <c r="T83" s="8"/>
      <c r="U83" s="8"/>
      <c r="V83" s="100"/>
      <c r="W83" s="8"/>
      <c r="Z83" s="10"/>
      <c r="AA83" s="10"/>
    </row>
    <row r="84" spans="2:27" x14ac:dyDescent="0.25">
      <c r="B84" s="8"/>
      <c r="C84" s="8"/>
      <c r="D84" s="8"/>
      <c r="E84" s="9"/>
      <c r="G84" s="8"/>
      <c r="H84" s="8"/>
      <c r="K84" s="8"/>
      <c r="L84" s="8"/>
      <c r="M84" s="8"/>
      <c r="N84" s="8"/>
      <c r="O84" s="8"/>
      <c r="P84" s="8"/>
      <c r="Q84" s="100"/>
      <c r="R84" s="8"/>
      <c r="S84" s="8"/>
      <c r="T84" s="8"/>
      <c r="U84" s="8"/>
      <c r="V84" s="100"/>
      <c r="W84" s="8"/>
      <c r="Z84" s="10"/>
      <c r="AA84" s="10"/>
    </row>
    <row r="85" spans="2:27" x14ac:dyDescent="0.25">
      <c r="B85" s="8"/>
      <c r="C85" s="8"/>
      <c r="D85" s="8"/>
      <c r="E85" s="9"/>
      <c r="G85" s="8"/>
      <c r="H85" s="8"/>
      <c r="K85" s="8"/>
      <c r="M85" s="8"/>
      <c r="N85" s="8"/>
      <c r="O85" s="8"/>
      <c r="P85" s="8"/>
      <c r="Q85" s="100"/>
      <c r="R85" s="8"/>
      <c r="S85" s="8"/>
      <c r="T85" s="8"/>
      <c r="U85" s="8"/>
      <c r="V85" s="100"/>
      <c r="W85" s="8"/>
      <c r="Z85" s="10"/>
      <c r="AA85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F2F8E-2A64-4BD8-A76F-33027D541D8F}">
  <dimension ref="A1:O85"/>
  <sheetViews>
    <sheetView topLeftCell="C1" zoomScale="110" zoomScaleNormal="110" workbookViewId="0">
      <selection activeCell="I76" sqref="I76"/>
    </sheetView>
  </sheetViews>
  <sheetFormatPr defaultRowHeight="15" x14ac:dyDescent="0.25"/>
  <cols>
    <col min="1" max="1" width="24.28515625" customWidth="1"/>
    <col min="2" max="4" width="13.42578125" customWidth="1"/>
    <col min="5" max="5" width="15.5703125" style="2" customWidth="1"/>
    <col min="6" max="7" width="12.5703125" customWidth="1"/>
    <col min="8" max="8" width="14.42578125" customWidth="1"/>
    <col min="9" max="9" width="14.42578125" style="84" customWidth="1"/>
    <col min="10" max="10" width="13.5703125" customWidth="1"/>
    <col min="11" max="11" width="15" customWidth="1"/>
    <col min="12" max="12" width="15.7109375" customWidth="1"/>
    <col min="13" max="13" width="15.7109375" style="84" customWidth="1"/>
    <col min="14" max="14" width="17.140625" customWidth="1"/>
    <col min="15" max="15" width="13.5703125" bestFit="1" customWidth="1"/>
  </cols>
  <sheetData>
    <row r="1" spans="1:15" ht="15.75" x14ac:dyDescent="0.25">
      <c r="A1" s="1" t="s">
        <v>32</v>
      </c>
    </row>
    <row r="2" spans="1:15" x14ac:dyDescent="0.25">
      <c r="A2" s="4" t="s">
        <v>0</v>
      </c>
    </row>
    <row r="3" spans="1:15" x14ac:dyDescent="0.25">
      <c r="A3" s="5" t="s">
        <v>1</v>
      </c>
    </row>
    <row r="4" spans="1:15" x14ac:dyDescent="0.25">
      <c r="A4" s="8"/>
      <c r="B4" s="8"/>
      <c r="C4" s="8"/>
      <c r="D4" s="8"/>
      <c r="E4" s="9" t="s">
        <v>2</v>
      </c>
      <c r="F4" s="11" t="s">
        <v>3</v>
      </c>
      <c r="G4" s="11" t="s">
        <v>4</v>
      </c>
      <c r="H4" s="11" t="s">
        <v>5</v>
      </c>
      <c r="I4" s="85" t="s">
        <v>4</v>
      </c>
      <c r="J4" s="11" t="s">
        <v>3</v>
      </c>
      <c r="K4" s="11" t="s">
        <v>4</v>
      </c>
      <c r="L4" s="11" t="s">
        <v>5</v>
      </c>
      <c r="M4" s="85" t="s">
        <v>4</v>
      </c>
    </row>
    <row r="5" spans="1:15" x14ac:dyDescent="0.25">
      <c r="A5" s="13" t="s">
        <v>12</v>
      </c>
      <c r="B5" s="13" t="s">
        <v>13</v>
      </c>
      <c r="C5" s="13" t="s">
        <v>37</v>
      </c>
      <c r="D5" s="13" t="s">
        <v>40</v>
      </c>
      <c r="E5" s="13" t="s">
        <v>14</v>
      </c>
      <c r="F5" s="13" t="s">
        <v>43</v>
      </c>
      <c r="G5" s="13" t="s">
        <v>44</v>
      </c>
      <c r="H5" s="13" t="s">
        <v>45</v>
      </c>
      <c r="I5" s="86" t="s">
        <v>46</v>
      </c>
      <c r="J5" s="13" t="s">
        <v>47</v>
      </c>
      <c r="K5" s="13" t="s">
        <v>48</v>
      </c>
      <c r="L5" s="13" t="s">
        <v>49</v>
      </c>
      <c r="M5" s="86" t="s">
        <v>50</v>
      </c>
      <c r="N5" s="33" t="s">
        <v>51</v>
      </c>
      <c r="O5" s="33" t="s">
        <v>52</v>
      </c>
    </row>
    <row r="6" spans="1:15" x14ac:dyDescent="0.25">
      <c r="A6" s="12"/>
      <c r="B6" s="12"/>
      <c r="C6" s="12"/>
      <c r="D6" s="12"/>
      <c r="E6" s="12"/>
      <c r="F6" s="12"/>
      <c r="G6" s="12"/>
      <c r="H6" s="12"/>
      <c r="I6" s="87"/>
      <c r="J6" s="12"/>
      <c r="K6" s="12"/>
      <c r="L6" s="12"/>
      <c r="M6" s="87"/>
    </row>
    <row r="7" spans="1:15" ht="15.75" x14ac:dyDescent="0.25">
      <c r="A7" s="34" t="s">
        <v>34</v>
      </c>
      <c r="B7" s="12"/>
      <c r="C7" s="35"/>
      <c r="D7" s="35"/>
      <c r="E7" s="25"/>
      <c r="F7" s="12"/>
      <c r="G7" s="12"/>
      <c r="H7" s="12"/>
      <c r="I7" s="87"/>
      <c r="J7" s="12"/>
      <c r="K7" s="12"/>
      <c r="L7" s="12"/>
      <c r="M7" s="87"/>
    </row>
    <row r="8" spans="1:15" ht="15.75" x14ac:dyDescent="0.25">
      <c r="A8" s="12"/>
      <c r="B8" s="12"/>
      <c r="C8" s="35"/>
      <c r="D8" s="35"/>
      <c r="E8" s="25"/>
      <c r="F8" s="25"/>
      <c r="G8" s="12"/>
      <c r="H8" s="12"/>
      <c r="I8" s="87"/>
      <c r="J8" s="12"/>
      <c r="K8" s="12"/>
      <c r="L8" s="12"/>
      <c r="M8" s="87"/>
    </row>
    <row r="9" spans="1:15" x14ac:dyDescent="0.25">
      <c r="A9" s="46" t="s">
        <v>35</v>
      </c>
      <c r="B9" s="47">
        <v>41779</v>
      </c>
      <c r="C9" s="46">
        <v>4</v>
      </c>
      <c r="D9" s="46">
        <v>1</v>
      </c>
      <c r="E9" s="25">
        <v>5.4</v>
      </c>
      <c r="F9" s="25">
        <v>2.4500000000000002</v>
      </c>
      <c r="G9" s="52">
        <v>3.8988768866222085</v>
      </c>
      <c r="H9" s="24">
        <f>F9+G9</f>
        <v>6.3488768866222092</v>
      </c>
      <c r="I9" s="88">
        <f>G9/E9</f>
        <v>0.72201423826337185</v>
      </c>
      <c r="J9" s="58">
        <v>1.4E-2</v>
      </c>
      <c r="K9" s="59">
        <v>8.0295237946101852E-3</v>
      </c>
      <c r="L9" s="31">
        <f>J9+K9</f>
        <v>2.2029523794610185E-2</v>
      </c>
      <c r="M9" s="101">
        <f>(K9/E9)*1000</f>
        <v>1.4869488508537378</v>
      </c>
      <c r="N9">
        <v>41.1</v>
      </c>
      <c r="O9">
        <v>-72.05</v>
      </c>
    </row>
    <row r="10" spans="1:15" x14ac:dyDescent="0.25">
      <c r="A10" s="46"/>
      <c r="B10" s="48"/>
      <c r="C10" s="46"/>
      <c r="D10" s="46">
        <v>2</v>
      </c>
      <c r="E10" s="25"/>
      <c r="F10" s="42"/>
      <c r="G10" s="55"/>
      <c r="H10" s="55"/>
      <c r="I10" s="89"/>
      <c r="J10" s="61"/>
      <c r="K10" s="13"/>
      <c r="L10" s="62"/>
      <c r="M10" s="86"/>
    </row>
    <row r="11" spans="1:15" x14ac:dyDescent="0.25">
      <c r="A11" s="46"/>
      <c r="B11" s="48"/>
      <c r="C11" s="46"/>
      <c r="D11" s="46"/>
      <c r="E11" s="25"/>
      <c r="F11" s="25"/>
      <c r="G11" s="53"/>
      <c r="H11" s="53"/>
      <c r="I11" s="90"/>
      <c r="J11" s="12"/>
      <c r="K11" s="12"/>
      <c r="L11" s="51"/>
      <c r="M11" s="87"/>
    </row>
    <row r="12" spans="1:15" x14ac:dyDescent="0.25">
      <c r="A12" s="46" t="s">
        <v>36</v>
      </c>
      <c r="B12" s="47">
        <v>41779</v>
      </c>
      <c r="C12" s="46">
        <v>12</v>
      </c>
      <c r="D12" s="46">
        <v>1</v>
      </c>
      <c r="E12" s="25">
        <v>11.3</v>
      </c>
      <c r="F12" s="25">
        <v>2.35</v>
      </c>
      <c r="G12" s="52">
        <v>1.8729311962901856</v>
      </c>
      <c r="H12" s="24"/>
      <c r="I12" s="88"/>
      <c r="J12" s="58">
        <v>8.9999999999999993E-3</v>
      </c>
      <c r="K12" s="59">
        <v>9.528488621949889E-3</v>
      </c>
      <c r="L12" s="31">
        <f>J12+K12</f>
        <v>1.852848862194989E-2</v>
      </c>
      <c r="M12" s="101">
        <f>(K12/E12)*1000</f>
        <v>0.84322908158848564</v>
      </c>
      <c r="N12">
        <v>41.1</v>
      </c>
      <c r="O12">
        <v>-72.05</v>
      </c>
    </row>
    <row r="13" spans="1:15" x14ac:dyDescent="0.25">
      <c r="A13" s="46" t="s">
        <v>36</v>
      </c>
      <c r="B13" s="47">
        <v>41779</v>
      </c>
      <c r="C13" s="46">
        <v>12</v>
      </c>
      <c r="D13" s="46">
        <v>2</v>
      </c>
      <c r="E13" s="25"/>
      <c r="F13" s="42"/>
      <c r="G13" s="54">
        <v>2.6403018285377522</v>
      </c>
      <c r="H13" s="57"/>
      <c r="I13" s="91"/>
      <c r="J13" s="13"/>
      <c r="K13" s="13"/>
      <c r="L13" s="62"/>
      <c r="M13" s="86"/>
      <c r="N13">
        <v>41.1</v>
      </c>
      <c r="O13">
        <v>-72.05</v>
      </c>
    </row>
    <row r="14" spans="1:15" x14ac:dyDescent="0.25">
      <c r="A14" s="46"/>
      <c r="B14" s="48"/>
      <c r="C14" s="46"/>
      <c r="D14" s="46"/>
      <c r="E14" s="25"/>
      <c r="F14" s="25">
        <v>2.35</v>
      </c>
      <c r="G14" s="24">
        <f>AVERAGE(G12:G13)</f>
        <v>2.2566165124139688</v>
      </c>
      <c r="H14" s="24">
        <f>SUM(F14+G14)</f>
        <v>4.6066165124139689</v>
      </c>
      <c r="I14" s="88">
        <f>G14/E12</f>
        <v>0.19970057631982024</v>
      </c>
      <c r="J14" s="12"/>
      <c r="K14" s="12"/>
      <c r="L14" s="51"/>
      <c r="M14" s="87"/>
    </row>
    <row r="15" spans="1:15" x14ac:dyDescent="0.25">
      <c r="A15" s="46"/>
      <c r="B15" s="48"/>
      <c r="C15" s="46"/>
      <c r="D15" s="46"/>
      <c r="E15" s="25"/>
      <c r="F15" s="25"/>
      <c r="G15" s="12"/>
      <c r="H15" s="12"/>
      <c r="I15" s="87"/>
      <c r="J15" s="12"/>
      <c r="K15" s="12"/>
      <c r="L15" s="51"/>
      <c r="M15" s="87"/>
    </row>
    <row r="16" spans="1:15" x14ac:dyDescent="0.25">
      <c r="A16" s="46" t="s">
        <v>28</v>
      </c>
      <c r="B16" s="47">
        <v>41781</v>
      </c>
      <c r="C16" s="46">
        <v>10</v>
      </c>
      <c r="D16" s="46">
        <v>1</v>
      </c>
      <c r="E16" s="25">
        <v>3.4</v>
      </c>
      <c r="F16" s="25">
        <v>4.3099999999999996</v>
      </c>
      <c r="G16" s="52">
        <v>2.3467158097074265</v>
      </c>
      <c r="H16" s="24">
        <f>F16+G16</f>
        <v>6.6567158097074266</v>
      </c>
      <c r="I16" s="88">
        <f>G16/E16</f>
        <v>0.69021053226689022</v>
      </c>
      <c r="J16" s="58">
        <v>0.02</v>
      </c>
      <c r="K16" s="59">
        <v>2.3391359450065315E-2</v>
      </c>
      <c r="L16" s="31"/>
      <c r="M16" s="101"/>
      <c r="N16">
        <v>40.950000000000003</v>
      </c>
      <c r="O16">
        <v>-73.5</v>
      </c>
    </row>
    <row r="17" spans="1:15" x14ac:dyDescent="0.25">
      <c r="A17" s="46" t="s">
        <v>28</v>
      </c>
      <c r="B17" s="47">
        <v>41779</v>
      </c>
      <c r="C17" s="46">
        <v>10</v>
      </c>
      <c r="D17" s="46">
        <v>2</v>
      </c>
      <c r="E17" s="25"/>
      <c r="F17" s="42"/>
      <c r="G17" s="13"/>
      <c r="H17" s="55"/>
      <c r="I17" s="89"/>
      <c r="J17" s="61"/>
      <c r="K17" s="60">
        <v>1.2309613363085208E-2</v>
      </c>
      <c r="L17" s="63"/>
      <c r="M17" s="102"/>
      <c r="N17">
        <v>40.950000000000003</v>
      </c>
      <c r="O17">
        <v>-73.5</v>
      </c>
    </row>
    <row r="18" spans="1:15" x14ac:dyDescent="0.25">
      <c r="A18" s="46"/>
      <c r="B18" s="48"/>
      <c r="C18" s="46"/>
      <c r="D18" s="46"/>
      <c r="E18" s="25"/>
      <c r="F18" s="25"/>
      <c r="G18" s="12"/>
      <c r="H18" s="53"/>
      <c r="I18" s="90"/>
      <c r="J18" s="67">
        <f>J16</f>
        <v>0.02</v>
      </c>
      <c r="K18" s="31">
        <f>AVERAGE(K16:K17)</f>
        <v>1.7850486406575262E-2</v>
      </c>
      <c r="L18" s="31">
        <f>J18+K18</f>
        <v>3.7850486406575262E-2</v>
      </c>
      <c r="M18" s="101">
        <f>(K18/E16)*1000</f>
        <v>5.2501430607574298</v>
      </c>
    </row>
    <row r="19" spans="1:15" x14ac:dyDescent="0.25">
      <c r="A19" s="46"/>
      <c r="B19" s="48"/>
      <c r="C19" s="46"/>
      <c r="D19" s="46"/>
      <c r="E19" s="25"/>
      <c r="F19" s="25"/>
      <c r="G19" s="12"/>
      <c r="H19" s="53"/>
      <c r="I19" s="90"/>
      <c r="J19" s="12"/>
      <c r="K19" s="12"/>
      <c r="L19" s="51"/>
      <c r="M19" s="87"/>
    </row>
    <row r="20" spans="1:15" x14ac:dyDescent="0.25">
      <c r="A20" s="46" t="s">
        <v>28</v>
      </c>
      <c r="B20" s="47">
        <v>41781</v>
      </c>
      <c r="C20" s="46">
        <v>15</v>
      </c>
      <c r="D20" s="46">
        <v>1</v>
      </c>
      <c r="E20" s="25">
        <v>3.9</v>
      </c>
      <c r="F20" s="25">
        <v>2.61</v>
      </c>
      <c r="G20" s="52">
        <v>1.9815245283887859</v>
      </c>
      <c r="H20" s="24"/>
      <c r="I20" s="88" t="s">
        <v>1</v>
      </c>
      <c r="J20" s="58">
        <v>2.3E-2</v>
      </c>
      <c r="K20" s="59">
        <v>9.3047945145191165E-3</v>
      </c>
      <c r="L20" s="31"/>
      <c r="M20" s="101"/>
      <c r="N20">
        <v>40.950000000000003</v>
      </c>
      <c r="O20">
        <v>-73.5</v>
      </c>
    </row>
    <row r="21" spans="1:15" x14ac:dyDescent="0.25">
      <c r="A21" s="46" t="s">
        <v>28</v>
      </c>
      <c r="B21" s="47">
        <v>41779</v>
      </c>
      <c r="C21" s="46">
        <v>15</v>
      </c>
      <c r="D21" s="46">
        <v>2</v>
      </c>
      <c r="E21" s="25"/>
      <c r="F21" s="42">
        <v>2.73</v>
      </c>
      <c r="G21" s="13"/>
      <c r="H21" s="57"/>
      <c r="I21" s="89"/>
      <c r="J21" s="13"/>
      <c r="K21" s="60">
        <v>8.9920545038147861E-3</v>
      </c>
      <c r="L21" s="63"/>
      <c r="M21" s="102"/>
      <c r="N21">
        <v>40.950000000000003</v>
      </c>
      <c r="O21">
        <v>-73.5</v>
      </c>
    </row>
    <row r="22" spans="1:15" ht="15.75" x14ac:dyDescent="0.25">
      <c r="B22" s="25"/>
      <c r="C22" s="36"/>
      <c r="D22" s="36"/>
      <c r="E22" s="25"/>
      <c r="F22" s="24">
        <f>AVERAGE(F20:F21)</f>
        <v>2.67</v>
      </c>
      <c r="G22" s="66">
        <v>1.9815245283887899</v>
      </c>
      <c r="H22" s="24">
        <f>SUM(F22+G22)</f>
        <v>4.6515245283887898</v>
      </c>
      <c r="I22" s="88">
        <f>G22/E20</f>
        <v>0.50808321240738208</v>
      </c>
      <c r="J22" s="67">
        <f>J20</f>
        <v>2.3E-2</v>
      </c>
      <c r="K22" s="31">
        <f>AVERAGE(K20:K21)</f>
        <v>9.1484245091669504E-3</v>
      </c>
      <c r="L22" s="31">
        <f>J22+K22</f>
        <v>3.2148424509166953E-2</v>
      </c>
      <c r="M22" s="101">
        <f>(K22/E20)*1000</f>
        <v>2.3457498741453717</v>
      </c>
    </row>
    <row r="23" spans="1:15" ht="15.75" x14ac:dyDescent="0.25">
      <c r="A23" s="34" t="s">
        <v>38</v>
      </c>
      <c r="B23" s="25"/>
      <c r="C23" s="36"/>
      <c r="D23" s="36"/>
      <c r="E23" s="25"/>
      <c r="F23" s="25"/>
      <c r="G23" s="12"/>
      <c r="H23" s="12"/>
      <c r="I23" s="87"/>
      <c r="J23" s="12"/>
      <c r="K23" s="12"/>
      <c r="L23" s="12"/>
      <c r="M23" s="87"/>
    </row>
    <row r="24" spans="1:15" ht="15.75" x14ac:dyDescent="0.25">
      <c r="A24" s="36"/>
      <c r="B24" s="25"/>
      <c r="C24" s="36"/>
      <c r="D24" s="36"/>
      <c r="E24" s="25"/>
      <c r="F24" s="12"/>
      <c r="G24" s="12"/>
      <c r="H24" s="12"/>
      <c r="I24" s="87"/>
      <c r="J24" s="12"/>
      <c r="K24" s="12"/>
      <c r="L24" s="12"/>
      <c r="M24" s="87"/>
    </row>
    <row r="25" spans="1:15" x14ac:dyDescent="0.25">
      <c r="A25" s="46" t="s">
        <v>35</v>
      </c>
      <c r="B25" s="47">
        <v>41852</v>
      </c>
      <c r="C25" s="46">
        <v>4</v>
      </c>
      <c r="D25" s="46">
        <v>1</v>
      </c>
      <c r="E25" s="26">
        <v>1</v>
      </c>
      <c r="F25" s="66">
        <v>2.68</v>
      </c>
      <c r="G25" s="66">
        <v>0.78339442515485025</v>
      </c>
      <c r="H25" s="24">
        <f>F25+G25</f>
        <v>3.4633944251548505</v>
      </c>
      <c r="I25" s="88">
        <f>G25/E25</f>
        <v>0.78339442515485025</v>
      </c>
      <c r="J25" s="25" t="s">
        <v>53</v>
      </c>
      <c r="K25" s="59">
        <v>1.3571954310698353E-2</v>
      </c>
      <c r="L25" s="31">
        <f>K25</f>
        <v>1.3571954310698353E-2</v>
      </c>
      <c r="M25" s="101">
        <f>(K25/E25)*1000</f>
        <v>13.571954310698352</v>
      </c>
      <c r="N25">
        <v>41.1</v>
      </c>
      <c r="O25">
        <v>-72.05</v>
      </c>
    </row>
    <row r="26" spans="1:15" x14ac:dyDescent="0.25">
      <c r="A26" s="46" t="s">
        <v>35</v>
      </c>
      <c r="B26" s="47">
        <v>41852</v>
      </c>
      <c r="C26" s="46">
        <v>4</v>
      </c>
      <c r="D26" s="46">
        <v>2</v>
      </c>
      <c r="E26" s="25"/>
      <c r="F26" s="13"/>
      <c r="G26" s="55"/>
      <c r="H26" s="43"/>
      <c r="I26" s="92"/>
      <c r="J26" s="42">
        <v>4.0000000000000001E-3</v>
      </c>
      <c r="K26" s="63"/>
      <c r="L26" s="42"/>
      <c r="M26" s="103"/>
      <c r="N26">
        <v>41.1</v>
      </c>
      <c r="O26">
        <v>-72.05</v>
      </c>
    </row>
    <row r="27" spans="1:15" x14ac:dyDescent="0.25">
      <c r="A27" s="46"/>
      <c r="B27" s="47"/>
      <c r="C27" s="46"/>
      <c r="D27" s="46"/>
      <c r="E27" s="25"/>
      <c r="F27" s="12"/>
      <c r="G27" s="53"/>
      <c r="H27" s="41"/>
      <c r="I27" s="93"/>
      <c r="J27" s="25"/>
      <c r="K27" s="31"/>
      <c r="L27" s="25"/>
      <c r="M27" s="104"/>
    </row>
    <row r="28" spans="1:15" x14ac:dyDescent="0.25">
      <c r="A28" s="46"/>
      <c r="B28" s="48"/>
      <c r="C28" s="46"/>
      <c r="D28" s="46"/>
      <c r="E28" s="25"/>
      <c r="F28" s="12"/>
      <c r="G28" s="53"/>
      <c r="H28" s="41"/>
      <c r="I28" s="93"/>
      <c r="J28" s="25"/>
      <c r="K28" s="31"/>
      <c r="L28" s="25"/>
      <c r="M28" s="104"/>
    </row>
    <row r="29" spans="1:15" x14ac:dyDescent="0.25">
      <c r="A29" s="46" t="s">
        <v>36</v>
      </c>
      <c r="B29" s="47">
        <v>41852</v>
      </c>
      <c r="C29" s="46">
        <v>12</v>
      </c>
      <c r="D29" s="46">
        <v>1</v>
      </c>
      <c r="E29" s="25">
        <v>1.4</v>
      </c>
      <c r="F29" s="66">
        <v>1.7484425071361254</v>
      </c>
      <c r="G29" s="66">
        <v>0.86202030748171865</v>
      </c>
      <c r="H29" s="41"/>
      <c r="I29" s="93"/>
      <c r="J29" s="25">
        <v>1.7000000000000001E-2</v>
      </c>
      <c r="K29" s="59">
        <v>1.7891438665223729E-2</v>
      </c>
      <c r="L29" s="31">
        <f>J29+K29</f>
        <v>3.4891438665223734E-2</v>
      </c>
      <c r="M29" s="101">
        <f>(K29/E29)*1000</f>
        <v>12.779599046588379</v>
      </c>
      <c r="N29">
        <v>41.1</v>
      </c>
      <c r="O29">
        <v>-72.05</v>
      </c>
    </row>
    <row r="30" spans="1:15" x14ac:dyDescent="0.25">
      <c r="A30" s="46" t="s">
        <v>35</v>
      </c>
      <c r="B30" s="47">
        <v>41852</v>
      </c>
      <c r="C30" s="46">
        <v>12</v>
      </c>
      <c r="D30" s="46">
        <v>2</v>
      </c>
      <c r="E30" s="25"/>
      <c r="F30" s="13"/>
      <c r="G30" s="71">
        <v>0.91224977994182777</v>
      </c>
      <c r="H30" s="43"/>
      <c r="I30" s="92"/>
      <c r="J30" s="42"/>
      <c r="K30" s="63"/>
      <c r="L30" s="42"/>
      <c r="M30" s="102" t="s">
        <v>1</v>
      </c>
      <c r="N30">
        <v>41.1</v>
      </c>
      <c r="O30">
        <v>-72.05</v>
      </c>
    </row>
    <row r="31" spans="1:15" x14ac:dyDescent="0.25">
      <c r="A31" s="46"/>
      <c r="B31" s="47"/>
      <c r="C31" s="46"/>
      <c r="D31" s="46"/>
      <c r="E31" s="25"/>
      <c r="F31" s="24">
        <f>F29</f>
        <v>1.7484425071361254</v>
      </c>
      <c r="G31" s="24">
        <f>AVERAGE(G29:G30)</f>
        <v>0.88713504371177321</v>
      </c>
      <c r="H31" s="24">
        <f>SUM(F31+G31)</f>
        <v>2.6355775508478985</v>
      </c>
      <c r="I31" s="88">
        <f>G31/E29</f>
        <v>0.63366788836555232</v>
      </c>
      <c r="J31" s="25"/>
      <c r="K31" s="31"/>
      <c r="L31" s="25"/>
      <c r="M31" s="101" t="s">
        <v>1</v>
      </c>
    </row>
    <row r="32" spans="1:15" x14ac:dyDescent="0.25">
      <c r="A32" s="46"/>
      <c r="B32" s="47"/>
      <c r="C32" s="46"/>
      <c r="D32" s="46"/>
      <c r="E32" s="25"/>
      <c r="F32" s="24"/>
      <c r="G32" s="24"/>
      <c r="H32" s="24"/>
      <c r="I32" s="88"/>
      <c r="J32" s="25"/>
      <c r="K32" s="31"/>
      <c r="L32" s="25"/>
      <c r="M32" s="87"/>
    </row>
    <row r="33" spans="1:15" x14ac:dyDescent="0.25">
      <c r="A33" s="46"/>
      <c r="B33" s="46"/>
      <c r="C33" s="46"/>
      <c r="D33" s="46"/>
      <c r="E33" s="25"/>
      <c r="F33" s="12"/>
      <c r="G33" s="53"/>
      <c r="H33" s="12"/>
      <c r="I33" s="93"/>
      <c r="J33" s="25"/>
      <c r="K33" s="31"/>
      <c r="L33" s="25"/>
      <c r="M33" s="87"/>
    </row>
    <row r="34" spans="1:15" x14ac:dyDescent="0.25">
      <c r="A34" s="46" t="s">
        <v>39</v>
      </c>
      <c r="B34" s="47">
        <v>41781</v>
      </c>
      <c r="C34" s="46">
        <v>7</v>
      </c>
      <c r="D34" s="46">
        <v>1</v>
      </c>
      <c r="E34" s="25">
        <v>1.7</v>
      </c>
      <c r="F34" s="66">
        <v>1.5633070872642345</v>
      </c>
      <c r="G34" s="66">
        <v>4.1975945044263376</v>
      </c>
      <c r="H34" s="24">
        <f>F34+G34</f>
        <v>5.7609015916905726</v>
      </c>
      <c r="I34" s="88">
        <f>G34/E34</f>
        <v>2.4691732378978459</v>
      </c>
      <c r="J34" s="25">
        <v>1.6E-2</v>
      </c>
      <c r="K34" s="59">
        <v>1.8676067806419155E-2</v>
      </c>
      <c r="L34" s="31">
        <f>J34+K34</f>
        <v>3.4676067806419159E-2</v>
      </c>
      <c r="M34" s="101">
        <f>(K34/E34)*1000</f>
        <v>10.98592223907009</v>
      </c>
      <c r="N34">
        <v>40.950000000000003</v>
      </c>
      <c r="O34">
        <v>-73.5</v>
      </c>
    </row>
    <row r="35" spans="1:15" x14ac:dyDescent="0.25">
      <c r="A35" s="46" t="s">
        <v>39</v>
      </c>
      <c r="B35" s="47">
        <v>41781</v>
      </c>
      <c r="C35" s="46"/>
      <c r="D35" s="46">
        <v>2</v>
      </c>
      <c r="E35" s="25"/>
      <c r="F35" s="13"/>
      <c r="G35" s="55"/>
      <c r="H35" s="13"/>
      <c r="I35" s="86"/>
      <c r="J35" s="42"/>
      <c r="K35" s="63"/>
      <c r="L35" s="42"/>
      <c r="M35" s="86"/>
      <c r="N35">
        <v>40.950000000000003</v>
      </c>
      <c r="O35">
        <v>-73.5</v>
      </c>
    </row>
    <row r="36" spans="1:15" x14ac:dyDescent="0.25">
      <c r="A36" s="46"/>
      <c r="B36" s="47"/>
      <c r="C36" s="46"/>
      <c r="D36" s="46"/>
      <c r="E36" s="25"/>
      <c r="F36" s="12"/>
      <c r="G36" s="53"/>
      <c r="H36" s="12"/>
      <c r="I36" s="87"/>
      <c r="J36" s="25"/>
      <c r="K36" s="31"/>
      <c r="L36" s="25"/>
      <c r="M36" s="87"/>
    </row>
    <row r="37" spans="1:15" x14ac:dyDescent="0.25">
      <c r="A37" s="46"/>
      <c r="B37" s="48"/>
      <c r="C37" s="46"/>
      <c r="D37" s="46"/>
      <c r="E37" s="25"/>
      <c r="F37" s="12"/>
      <c r="G37" s="53"/>
      <c r="H37" s="12"/>
      <c r="I37" s="87"/>
      <c r="J37" s="12"/>
      <c r="K37" s="51"/>
      <c r="L37" s="12"/>
      <c r="M37" s="87"/>
    </row>
    <row r="38" spans="1:15" x14ac:dyDescent="0.25">
      <c r="A38" s="46" t="s">
        <v>39</v>
      </c>
      <c r="B38" s="47">
        <v>41781</v>
      </c>
      <c r="C38" s="46">
        <v>14</v>
      </c>
      <c r="D38" s="46">
        <v>1</v>
      </c>
      <c r="E38" s="25">
        <v>1.2</v>
      </c>
      <c r="F38" s="66">
        <v>1.6824725384699075</v>
      </c>
      <c r="G38" s="66">
        <v>1.4399344251248876</v>
      </c>
      <c r="H38" s="12"/>
      <c r="I38" s="87"/>
      <c r="J38" s="25" t="s">
        <v>53</v>
      </c>
      <c r="K38" s="59">
        <v>1.4530948427424386E-2</v>
      </c>
      <c r="L38" s="12"/>
      <c r="M38" s="87"/>
      <c r="N38">
        <v>40.950000000000003</v>
      </c>
      <c r="O38">
        <v>-73.5</v>
      </c>
    </row>
    <row r="39" spans="1:15" x14ac:dyDescent="0.25">
      <c r="A39" s="46" t="s">
        <v>39</v>
      </c>
      <c r="B39" s="47">
        <v>41781</v>
      </c>
      <c r="C39" s="46">
        <v>14</v>
      </c>
      <c r="D39" s="46">
        <v>2</v>
      </c>
      <c r="E39" s="25"/>
      <c r="F39" s="13"/>
      <c r="G39" s="71">
        <v>1.4371240556940532</v>
      </c>
      <c r="H39" s="13"/>
      <c r="I39" s="86"/>
      <c r="J39" s="13"/>
      <c r="K39" s="60">
        <v>1.6416649572002569E-2</v>
      </c>
      <c r="L39" s="13"/>
      <c r="M39" s="86"/>
      <c r="N39">
        <v>40.950000000000003</v>
      </c>
      <c r="O39">
        <v>-73.5</v>
      </c>
    </row>
    <row r="40" spans="1:15" x14ac:dyDescent="0.25">
      <c r="A40" s="46"/>
      <c r="B40" s="46"/>
      <c r="C40" s="46"/>
      <c r="D40" s="46"/>
      <c r="E40" s="25"/>
      <c r="F40" s="24">
        <f>F38</f>
        <v>1.6824725384699075</v>
      </c>
      <c r="G40" s="24">
        <f>AVERAGE(G38:G39)</f>
        <v>1.4385292404094705</v>
      </c>
      <c r="H40" s="24">
        <f>SUM(F40+G40)</f>
        <v>3.121001778879378</v>
      </c>
      <c r="I40" s="88">
        <f>G40/E38</f>
        <v>1.1987743670078921</v>
      </c>
      <c r="J40" s="12"/>
      <c r="K40" s="31">
        <f>AVERAGE(K38:K39)</f>
        <v>1.5473798999713477E-2</v>
      </c>
      <c r="L40" s="31">
        <f>K40</f>
        <v>1.5473798999713477E-2</v>
      </c>
      <c r="M40" s="101">
        <f>(K40/E38)*1000</f>
        <v>12.894832499761231</v>
      </c>
    </row>
    <row r="41" spans="1:15" ht="15.75" x14ac:dyDescent="0.25">
      <c r="A41" s="12"/>
      <c r="B41" s="25"/>
      <c r="C41" s="36"/>
      <c r="D41" s="36"/>
      <c r="E41" s="12"/>
      <c r="F41" s="12"/>
      <c r="G41" s="12"/>
      <c r="H41" s="12"/>
      <c r="I41" s="87"/>
      <c r="J41" s="12">
        <v>8.9999999999999993E-3</v>
      </c>
      <c r="K41" s="12"/>
      <c r="L41" s="12"/>
      <c r="M41" s="87"/>
    </row>
    <row r="42" spans="1:15" ht="15.75" x14ac:dyDescent="0.25">
      <c r="A42" s="34" t="s">
        <v>33</v>
      </c>
      <c r="B42" s="12"/>
      <c r="C42" s="12"/>
      <c r="D42" s="12"/>
      <c r="E42" s="12"/>
      <c r="F42" s="12"/>
      <c r="G42" s="12"/>
      <c r="H42" s="12"/>
      <c r="I42" s="87"/>
      <c r="J42" s="12"/>
      <c r="K42" s="12"/>
      <c r="L42" s="12"/>
      <c r="M42" s="87"/>
    </row>
    <row r="43" spans="1:15" x14ac:dyDescent="0.25">
      <c r="A43" s="12"/>
      <c r="B43" s="12"/>
      <c r="C43" s="37"/>
      <c r="D43" s="37"/>
      <c r="E43" s="12"/>
      <c r="F43" s="12"/>
      <c r="G43" s="12"/>
      <c r="H43" s="12"/>
      <c r="I43" s="87"/>
      <c r="J43" s="12"/>
      <c r="K43" s="12"/>
      <c r="L43" s="12"/>
      <c r="M43" s="87"/>
    </row>
    <row r="44" spans="1:15" x14ac:dyDescent="0.25">
      <c r="A44" s="49" t="s">
        <v>27</v>
      </c>
      <c r="B44" s="47">
        <v>41892</v>
      </c>
      <c r="C44" s="50">
        <v>4</v>
      </c>
      <c r="D44" s="50">
        <v>1</v>
      </c>
      <c r="E44" s="16">
        <v>8.6</v>
      </c>
      <c r="F44" s="17">
        <v>1.22</v>
      </c>
      <c r="G44" s="59">
        <v>2.0522338756468437</v>
      </c>
      <c r="H44" s="24">
        <f>F44+G44</f>
        <v>3.2722338756468439</v>
      </c>
      <c r="I44" s="88">
        <f>G44/E44</f>
        <v>0.23863184600544696</v>
      </c>
      <c r="J44" s="21">
        <v>1.4999999999999999E-2</v>
      </c>
      <c r="K44" s="59">
        <v>8.88434601786613E-3</v>
      </c>
      <c r="L44" s="19"/>
      <c r="M44" s="101"/>
      <c r="N44">
        <v>41.1</v>
      </c>
      <c r="O44">
        <v>-72.05</v>
      </c>
    </row>
    <row r="45" spans="1:15" x14ac:dyDescent="0.25">
      <c r="A45" s="49" t="s">
        <v>27</v>
      </c>
      <c r="B45" s="47">
        <v>41892</v>
      </c>
      <c r="C45" s="39">
        <v>4</v>
      </c>
      <c r="D45" s="40">
        <v>2</v>
      </c>
      <c r="E45" s="16"/>
      <c r="F45" s="42"/>
      <c r="G45" s="42"/>
      <c r="H45" s="43"/>
      <c r="I45" s="94"/>
      <c r="J45" s="63"/>
      <c r="K45" s="60">
        <v>9.2432604997831382E-3</v>
      </c>
      <c r="L45" s="42"/>
      <c r="M45" s="97"/>
      <c r="N45">
        <v>41.1</v>
      </c>
      <c r="O45">
        <v>-72.05</v>
      </c>
    </row>
    <row r="46" spans="1:15" x14ac:dyDescent="0.25">
      <c r="A46" s="47"/>
      <c r="B46" s="15"/>
      <c r="C46" s="39"/>
      <c r="D46" s="40"/>
      <c r="E46" s="16"/>
      <c r="F46" s="25"/>
      <c r="G46" s="25"/>
      <c r="H46" s="41"/>
      <c r="I46" s="95"/>
      <c r="J46" s="67">
        <f>J44</f>
        <v>1.4999999999999999E-2</v>
      </c>
      <c r="K46" s="31">
        <f>AVERAGE(K44:K45)</f>
        <v>9.0638032588246341E-3</v>
      </c>
      <c r="L46" s="31">
        <f>J46+K46</f>
        <v>2.4063803258824634E-2</v>
      </c>
      <c r="M46" s="101">
        <f>(K46/E44)*1000</f>
        <v>1.0539306114912366</v>
      </c>
    </row>
    <row r="47" spans="1:15" x14ac:dyDescent="0.25">
      <c r="A47" s="47"/>
      <c r="B47" s="15"/>
      <c r="C47" s="39"/>
      <c r="D47" s="40"/>
      <c r="E47" s="16"/>
      <c r="F47" s="9"/>
      <c r="G47" s="9"/>
      <c r="H47" s="41"/>
      <c r="I47" s="96"/>
      <c r="J47" s="21"/>
      <c r="K47" s="21"/>
      <c r="L47" s="9"/>
      <c r="M47" s="98"/>
    </row>
    <row r="48" spans="1:15" x14ac:dyDescent="0.25">
      <c r="A48" s="49" t="s">
        <v>27</v>
      </c>
      <c r="B48" s="47">
        <v>41892</v>
      </c>
      <c r="C48" s="50">
        <v>12</v>
      </c>
      <c r="D48" s="50">
        <v>1</v>
      </c>
      <c r="E48" s="26">
        <v>11.4</v>
      </c>
      <c r="F48" s="17">
        <v>1.62</v>
      </c>
      <c r="G48" s="59">
        <v>1.5188611351843297</v>
      </c>
      <c r="H48" s="41"/>
      <c r="I48" s="96"/>
      <c r="J48" s="21" t="s">
        <v>53</v>
      </c>
      <c r="K48" s="59">
        <v>9.8361142699866198E-3</v>
      </c>
      <c r="L48" s="31">
        <f>K48</f>
        <v>9.8361142699866198E-3</v>
      </c>
      <c r="M48" s="101">
        <f>(K48/E48)*1000</f>
        <v>0.8628170412268964</v>
      </c>
      <c r="N48">
        <v>41.1</v>
      </c>
      <c r="O48">
        <v>-72.05</v>
      </c>
    </row>
    <row r="49" spans="1:15" x14ac:dyDescent="0.25">
      <c r="A49" s="49" t="s">
        <v>27</v>
      </c>
      <c r="B49" s="47">
        <v>41892</v>
      </c>
      <c r="C49" s="39">
        <v>12</v>
      </c>
      <c r="D49" s="40">
        <v>2</v>
      </c>
      <c r="E49" s="16"/>
      <c r="F49" s="56">
        <v>1.35</v>
      </c>
      <c r="G49" s="60">
        <v>1.7425108243003589</v>
      </c>
      <c r="H49" s="43"/>
      <c r="I49" s="94"/>
      <c r="J49" s="63">
        <v>8.9999999999999993E-3</v>
      </c>
      <c r="K49" s="63"/>
      <c r="L49" s="63"/>
      <c r="M49" s="105"/>
      <c r="N49">
        <v>41.1</v>
      </c>
      <c r="O49">
        <v>-72.05</v>
      </c>
    </row>
    <row r="50" spans="1:15" x14ac:dyDescent="0.25">
      <c r="A50" s="47"/>
      <c r="B50" s="15"/>
      <c r="C50" s="39"/>
      <c r="D50" s="40"/>
      <c r="E50" s="16"/>
      <c r="F50" s="24">
        <f>AVERAGE(F48:F49)</f>
        <v>1.4850000000000001</v>
      </c>
      <c r="G50" s="24">
        <f>AVERAGE(G48:G49)</f>
        <v>1.6306859797423443</v>
      </c>
      <c r="H50" s="24">
        <f>SUM(F50+G50)</f>
        <v>3.1156859797423442</v>
      </c>
      <c r="I50" s="88">
        <f>G50/E48</f>
        <v>0.14304262980196003</v>
      </c>
      <c r="J50" s="21"/>
      <c r="K50" s="21"/>
      <c r="L50" s="21"/>
      <c r="M50" s="106"/>
    </row>
    <row r="51" spans="1:15" x14ac:dyDescent="0.25">
      <c r="A51" s="47"/>
      <c r="B51" s="15"/>
      <c r="C51" s="39"/>
      <c r="D51" s="40"/>
      <c r="E51" s="16"/>
      <c r="F51" s="17"/>
      <c r="G51" s="18"/>
      <c r="H51" s="41"/>
      <c r="I51" s="96"/>
      <c r="J51" s="21"/>
      <c r="K51" s="21"/>
      <c r="L51" s="21"/>
      <c r="M51" s="106"/>
    </row>
    <row r="52" spans="1:15" x14ac:dyDescent="0.25">
      <c r="A52" s="49" t="s">
        <v>28</v>
      </c>
      <c r="B52" s="47">
        <v>41892</v>
      </c>
      <c r="C52" s="50">
        <v>5</v>
      </c>
      <c r="D52" s="50">
        <v>1</v>
      </c>
      <c r="E52" s="16">
        <v>9.6999999999999993</v>
      </c>
      <c r="F52" s="17">
        <v>1.89</v>
      </c>
      <c r="G52" s="59">
        <v>4.8951401536317158</v>
      </c>
      <c r="H52" s="41"/>
      <c r="I52" s="96"/>
      <c r="J52" s="21">
        <v>2.1999999999999999E-2</v>
      </c>
      <c r="K52" s="59">
        <v>2.4450657398440712E-2</v>
      </c>
      <c r="L52" s="31">
        <f>J52+K52</f>
        <v>4.645065739844071E-2</v>
      </c>
      <c r="M52" s="101">
        <f>(K52/E52)*1000</f>
        <v>2.5206863297361561</v>
      </c>
      <c r="N52">
        <v>40.950000000000003</v>
      </c>
      <c r="O52">
        <v>-73.5</v>
      </c>
    </row>
    <row r="53" spans="1:15" x14ac:dyDescent="0.25">
      <c r="A53" s="49" t="s">
        <v>28</v>
      </c>
      <c r="B53" s="47">
        <v>41892</v>
      </c>
      <c r="C53" s="39">
        <v>5</v>
      </c>
      <c r="D53" s="40">
        <v>2</v>
      </c>
      <c r="E53" s="16"/>
      <c r="F53" s="56"/>
      <c r="G53" s="60">
        <v>5.5390611040081881</v>
      </c>
      <c r="H53" s="43"/>
      <c r="I53" s="94"/>
      <c r="J53" s="63"/>
      <c r="K53" s="82"/>
      <c r="L53" s="63"/>
      <c r="M53" s="102"/>
      <c r="N53">
        <v>40.950000000000003</v>
      </c>
      <c r="O53">
        <v>-73.5</v>
      </c>
    </row>
    <row r="54" spans="1:15" x14ac:dyDescent="0.25">
      <c r="A54" s="48"/>
      <c r="B54" s="15"/>
      <c r="C54" s="39"/>
      <c r="D54" s="40"/>
      <c r="E54" s="16"/>
      <c r="F54" s="24">
        <f>F52</f>
        <v>1.89</v>
      </c>
      <c r="G54" s="24">
        <f>AVERAGE(G52:G53)</f>
        <v>5.217100628819952</v>
      </c>
      <c r="H54" s="24">
        <f>SUM(F54+G54)</f>
        <v>7.1071006288199516</v>
      </c>
      <c r="I54" s="88">
        <f>G54/E52</f>
        <v>0.53784542565154148</v>
      </c>
      <c r="J54" s="21"/>
      <c r="K54" s="58"/>
      <c r="L54" s="21"/>
      <c r="M54" s="101"/>
    </row>
    <row r="55" spans="1:15" x14ac:dyDescent="0.25">
      <c r="A55" s="48"/>
      <c r="B55" s="15"/>
      <c r="C55" s="39"/>
      <c r="D55" s="40"/>
      <c r="E55" s="16"/>
      <c r="F55" s="17"/>
      <c r="G55" s="18"/>
      <c r="H55" s="41"/>
      <c r="I55" s="96"/>
      <c r="J55" s="21"/>
      <c r="K55" s="21"/>
      <c r="L55" s="21"/>
      <c r="M55" s="101"/>
    </row>
    <row r="56" spans="1:15" x14ac:dyDescent="0.25">
      <c r="A56" s="49" t="s">
        <v>28</v>
      </c>
      <c r="B56" s="47">
        <v>41892</v>
      </c>
      <c r="C56" s="50">
        <v>12</v>
      </c>
      <c r="D56" s="50">
        <v>1</v>
      </c>
      <c r="E56" s="16">
        <v>11.6</v>
      </c>
      <c r="F56" s="17">
        <v>1.72</v>
      </c>
      <c r="G56" s="59">
        <v>6.6908876125148309</v>
      </c>
      <c r="H56" s="24">
        <f>F56+G56</f>
        <v>8.4108876125148306</v>
      </c>
      <c r="I56" s="88">
        <f>G56/E56</f>
        <v>0.57680065625127852</v>
      </c>
      <c r="J56" s="21">
        <v>3.3000000000000002E-2</v>
      </c>
      <c r="K56" s="59">
        <v>2.9038508536502326E-2</v>
      </c>
      <c r="L56" s="21"/>
      <c r="M56" s="101"/>
      <c r="N56">
        <v>40.950000000000003</v>
      </c>
      <c r="O56">
        <v>-73.5</v>
      </c>
    </row>
    <row r="57" spans="1:15" x14ac:dyDescent="0.25">
      <c r="A57" s="49" t="s">
        <v>28</v>
      </c>
      <c r="B57" s="47">
        <v>41892</v>
      </c>
      <c r="C57" s="39">
        <v>12</v>
      </c>
      <c r="D57" s="40">
        <v>2</v>
      </c>
      <c r="E57" s="16"/>
      <c r="F57" s="42"/>
      <c r="G57" s="42"/>
      <c r="H57" s="43"/>
      <c r="I57" s="94"/>
      <c r="J57" s="63"/>
      <c r="K57" s="60">
        <v>2.3632382561922481E-2</v>
      </c>
      <c r="L57" s="42"/>
      <c r="M57" s="97"/>
      <c r="N57">
        <v>40.950000000000003</v>
      </c>
      <c r="O57">
        <v>-73.5</v>
      </c>
    </row>
    <row r="58" spans="1:15" x14ac:dyDescent="0.25">
      <c r="A58" s="47"/>
      <c r="B58" s="15"/>
      <c r="C58" s="39"/>
      <c r="D58" s="40"/>
      <c r="E58" s="16"/>
      <c r="F58" s="25"/>
      <c r="G58" s="25"/>
      <c r="H58" s="41"/>
      <c r="I58" s="95"/>
      <c r="J58" s="67">
        <f>J56</f>
        <v>3.3000000000000002E-2</v>
      </c>
      <c r="K58" s="31">
        <f>AVERAGE(K56:K57)</f>
        <v>2.6335445549212404E-2</v>
      </c>
      <c r="L58" s="31">
        <f>J58+K58</f>
        <v>5.9335445549212405E-2</v>
      </c>
      <c r="M58" s="101">
        <f>(K58/E56)*1000</f>
        <v>2.2702970301045173</v>
      </c>
    </row>
    <row r="59" spans="1:15" x14ac:dyDescent="0.25">
      <c r="A59" s="47"/>
      <c r="B59" s="15"/>
      <c r="C59" s="39"/>
      <c r="D59" s="40"/>
      <c r="E59" s="16"/>
      <c r="F59" s="9"/>
      <c r="G59" s="9"/>
      <c r="H59" s="41"/>
      <c r="I59" s="96"/>
      <c r="J59" s="21"/>
      <c r="K59" s="21"/>
      <c r="L59" s="9"/>
      <c r="M59" s="98"/>
    </row>
    <row r="60" spans="1:15" x14ac:dyDescent="0.25">
      <c r="A60" s="49" t="s">
        <v>29</v>
      </c>
      <c r="B60" s="47">
        <v>41892</v>
      </c>
      <c r="C60" s="50">
        <v>7</v>
      </c>
      <c r="D60" s="50">
        <v>1</v>
      </c>
      <c r="E60" s="16">
        <v>18.399999999999999</v>
      </c>
      <c r="F60" s="17">
        <v>1.77</v>
      </c>
      <c r="G60" s="59">
        <v>5.2510170581429207</v>
      </c>
      <c r="H60" s="24">
        <f>F60+G60</f>
        <v>7.0210170581429203</v>
      </c>
      <c r="I60" s="88">
        <f>G60/E60</f>
        <v>0.28538136185559354</v>
      </c>
      <c r="J60" s="21">
        <v>1.7999999999999999E-2</v>
      </c>
      <c r="K60" s="59">
        <v>2.196864058047876E-2</v>
      </c>
      <c r="L60" s="21"/>
      <c r="M60" s="101"/>
      <c r="N60">
        <v>41.1</v>
      </c>
      <c r="O60">
        <v>-72.8</v>
      </c>
    </row>
    <row r="61" spans="1:15" x14ac:dyDescent="0.25">
      <c r="A61" s="49" t="s">
        <v>29</v>
      </c>
      <c r="B61" s="47">
        <v>41892</v>
      </c>
      <c r="C61" s="39">
        <v>7</v>
      </c>
      <c r="D61" s="40">
        <v>2</v>
      </c>
      <c r="E61" s="26"/>
      <c r="F61" s="57"/>
      <c r="G61" s="57"/>
      <c r="H61" s="43"/>
      <c r="I61" s="94"/>
      <c r="J61" s="63">
        <v>1.2999999999999999E-2</v>
      </c>
      <c r="K61" s="63"/>
      <c r="L61" s="63"/>
      <c r="M61" s="102"/>
      <c r="N61">
        <v>41.1</v>
      </c>
      <c r="O61">
        <v>-72.8</v>
      </c>
    </row>
    <row r="62" spans="1:15" x14ac:dyDescent="0.25">
      <c r="A62" s="48"/>
      <c r="B62" s="15"/>
      <c r="C62" s="39"/>
      <c r="D62" s="40"/>
      <c r="E62" s="26"/>
      <c r="F62" s="24"/>
      <c r="G62" s="24"/>
      <c r="H62" s="41"/>
      <c r="I62" s="95"/>
      <c r="J62" s="31">
        <f>AVERAGE(J60:J61)</f>
        <v>1.55E-2</v>
      </c>
      <c r="K62" s="67">
        <f>K60</f>
        <v>2.196864058047876E-2</v>
      </c>
      <c r="L62" s="31">
        <f>J62+K62</f>
        <v>3.746864058047876E-2</v>
      </c>
      <c r="M62" s="101">
        <f>(K62/E60)*1000</f>
        <v>1.1939478576347153</v>
      </c>
    </row>
    <row r="63" spans="1:15" x14ac:dyDescent="0.25">
      <c r="A63" s="48"/>
      <c r="B63" s="15"/>
      <c r="C63" s="39"/>
      <c r="D63" s="40"/>
      <c r="E63" s="26"/>
      <c r="F63" s="18"/>
      <c r="G63" s="18"/>
      <c r="H63" s="41"/>
      <c r="I63" s="96"/>
      <c r="J63" s="21"/>
      <c r="K63" s="21"/>
      <c r="L63" s="21"/>
      <c r="M63" s="101"/>
    </row>
    <row r="64" spans="1:15" x14ac:dyDescent="0.25">
      <c r="A64" s="49" t="s">
        <v>30</v>
      </c>
      <c r="B64" s="47">
        <v>41893</v>
      </c>
      <c r="C64" s="50">
        <v>10</v>
      </c>
      <c r="D64" s="50">
        <v>1</v>
      </c>
      <c r="E64" s="16">
        <v>6.4</v>
      </c>
      <c r="F64" s="52">
        <v>1.3178911695937632</v>
      </c>
      <c r="G64" s="18" t="s">
        <v>53</v>
      </c>
      <c r="H64" s="41"/>
      <c r="I64" s="96"/>
      <c r="J64" s="112" t="s">
        <v>53</v>
      </c>
      <c r="K64" s="59">
        <v>3.1269841742165372E-3</v>
      </c>
      <c r="L64" s="31">
        <f>K64</f>
        <v>3.1269841742165372E-3</v>
      </c>
      <c r="M64" s="101">
        <f>(K64/E64)*1000</f>
        <v>0.48859127722133389</v>
      </c>
      <c r="N64">
        <v>40.75</v>
      </c>
      <c r="O64">
        <v>-71.2</v>
      </c>
    </row>
    <row r="65" spans="1:15" x14ac:dyDescent="0.25">
      <c r="A65" s="49" t="s">
        <v>30</v>
      </c>
      <c r="B65" s="47">
        <v>41892</v>
      </c>
      <c r="C65" s="39">
        <v>10</v>
      </c>
      <c r="D65" s="40">
        <v>2</v>
      </c>
      <c r="E65" s="9"/>
      <c r="F65" s="42">
        <v>0.75</v>
      </c>
      <c r="G65" s="80">
        <v>7.8851118251566057E-2</v>
      </c>
      <c r="H65" s="42"/>
      <c r="I65" s="97"/>
      <c r="J65" s="81"/>
      <c r="K65" s="82"/>
      <c r="L65" s="81"/>
      <c r="M65" s="107"/>
      <c r="N65">
        <v>40.75</v>
      </c>
      <c r="O65">
        <v>-71.2</v>
      </c>
    </row>
    <row r="66" spans="1:15" x14ac:dyDescent="0.25">
      <c r="A66" s="48"/>
      <c r="B66" s="15"/>
      <c r="C66" s="39"/>
      <c r="D66" s="40"/>
      <c r="E66" s="9"/>
      <c r="F66" s="24">
        <f>AVERAGE(F64:F65)</f>
        <v>1.0339455847968817</v>
      </c>
      <c r="G66" s="24">
        <f>G65</f>
        <v>7.8851118251566057E-2</v>
      </c>
      <c r="H66" s="24">
        <f>SUM(F66+G66)</f>
        <v>1.1127967030484478</v>
      </c>
      <c r="I66" s="88">
        <f>G66/E64</f>
        <v>1.2320487226807196E-2</v>
      </c>
      <c r="J66" s="8"/>
      <c r="K66" s="67"/>
      <c r="L66" s="31"/>
      <c r="M66" s="101"/>
    </row>
    <row r="67" spans="1:15" x14ac:dyDescent="0.25">
      <c r="A67" s="48"/>
      <c r="B67" s="15"/>
      <c r="C67" s="39"/>
      <c r="D67" s="40"/>
      <c r="E67" s="9"/>
      <c r="F67" s="9"/>
      <c r="G67" s="9"/>
      <c r="H67" s="9"/>
      <c r="I67" s="98"/>
      <c r="J67" s="8"/>
      <c r="K67" s="58"/>
      <c r="L67" s="8"/>
      <c r="M67" s="100"/>
    </row>
    <row r="68" spans="1:15" x14ac:dyDescent="0.25">
      <c r="A68" s="49" t="s">
        <v>30</v>
      </c>
      <c r="B68" s="47">
        <v>41893</v>
      </c>
      <c r="C68" s="50">
        <v>40</v>
      </c>
      <c r="D68" s="50">
        <v>1</v>
      </c>
      <c r="E68" s="16">
        <v>9</v>
      </c>
      <c r="F68" s="52">
        <v>0.67427608864980959</v>
      </c>
      <c r="G68" s="74">
        <v>4.903260326024389E-2</v>
      </c>
      <c r="H68" s="24">
        <f>F68+G68</f>
        <v>0.72330869191005354</v>
      </c>
      <c r="I68" s="88">
        <f>G68/E68</f>
        <v>5.4480670289159877E-3</v>
      </c>
      <c r="J68" s="9" t="s">
        <v>53</v>
      </c>
      <c r="K68" s="59">
        <v>2.5776626699985034E-3</v>
      </c>
      <c r="L68" s="8"/>
      <c r="M68" s="100"/>
      <c r="N68">
        <v>40.75</v>
      </c>
      <c r="O68">
        <v>-71.2</v>
      </c>
    </row>
    <row r="69" spans="1:15" x14ac:dyDescent="0.25">
      <c r="A69" s="49" t="s">
        <v>30</v>
      </c>
      <c r="B69" s="47">
        <v>41892</v>
      </c>
      <c r="C69" s="39">
        <v>40</v>
      </c>
      <c r="D69" s="40">
        <v>2</v>
      </c>
      <c r="E69" s="9"/>
      <c r="F69" s="42"/>
      <c r="G69" s="42"/>
      <c r="H69" s="42"/>
      <c r="I69" s="97"/>
      <c r="J69" s="42"/>
      <c r="K69" s="60">
        <v>1.1980898337682374E-3</v>
      </c>
      <c r="L69" s="81"/>
      <c r="M69" s="107"/>
      <c r="N69">
        <v>40.75</v>
      </c>
      <c r="O69">
        <v>-71.2</v>
      </c>
    </row>
    <row r="70" spans="1:15" x14ac:dyDescent="0.25">
      <c r="A70" s="48"/>
      <c r="B70" s="15"/>
      <c r="C70" s="39"/>
      <c r="D70" s="40"/>
      <c r="E70" s="9"/>
      <c r="F70" s="25"/>
      <c r="G70" s="25"/>
      <c r="H70" s="25"/>
      <c r="I70" s="99"/>
      <c r="J70" s="111"/>
      <c r="K70" s="31">
        <f>AVERAGE(K68:K69)</f>
        <v>1.8878762518833704E-3</v>
      </c>
      <c r="L70" s="31">
        <f>K70</f>
        <v>1.8878762518833704E-3</v>
      </c>
      <c r="M70" s="101">
        <f>(K70/E68)*1000</f>
        <v>0.20976402798704116</v>
      </c>
    </row>
    <row r="71" spans="1:15" x14ac:dyDescent="0.25">
      <c r="A71" s="48"/>
      <c r="B71" s="15"/>
      <c r="C71" s="39"/>
      <c r="D71" s="40"/>
      <c r="E71" s="9"/>
      <c r="F71" s="9"/>
      <c r="G71" s="9"/>
      <c r="H71" s="9"/>
      <c r="I71" s="98"/>
      <c r="J71" s="9"/>
      <c r="K71" s="21"/>
      <c r="L71" s="8"/>
      <c r="M71" s="100"/>
    </row>
    <row r="72" spans="1:15" x14ac:dyDescent="0.25">
      <c r="A72" s="49" t="s">
        <v>31</v>
      </c>
      <c r="B72" s="47">
        <v>41893</v>
      </c>
      <c r="C72" s="50">
        <v>10</v>
      </c>
      <c r="D72" s="50">
        <v>1</v>
      </c>
      <c r="E72" s="16">
        <v>6</v>
      </c>
      <c r="F72" s="9">
        <v>0.75</v>
      </c>
      <c r="G72" s="74">
        <v>9.9709578174366084E-2</v>
      </c>
      <c r="H72" s="24">
        <f>F72+G72</f>
        <v>0.8497095781743661</v>
      </c>
      <c r="I72" s="88">
        <f>G72/E72</f>
        <v>1.6618263029061015E-2</v>
      </c>
      <c r="J72" s="9" t="s">
        <v>53</v>
      </c>
      <c r="K72" s="59">
        <v>2.469860451989582E-3</v>
      </c>
      <c r="L72" s="8"/>
      <c r="M72" s="100"/>
      <c r="N72">
        <v>40.200000000000003</v>
      </c>
      <c r="O72">
        <v>-70.8</v>
      </c>
    </row>
    <row r="73" spans="1:15" x14ac:dyDescent="0.25">
      <c r="A73" s="49" t="s">
        <v>31</v>
      </c>
      <c r="B73" s="47">
        <v>41892</v>
      </c>
      <c r="C73" s="40">
        <v>10</v>
      </c>
      <c r="D73" s="40">
        <v>2</v>
      </c>
      <c r="E73" s="9"/>
      <c r="F73" s="42"/>
      <c r="G73" s="42"/>
      <c r="H73" s="42"/>
      <c r="I73" s="97"/>
      <c r="J73" s="81"/>
      <c r="K73" s="60">
        <v>1.9797478139454432E-3</v>
      </c>
      <c r="L73" s="81"/>
      <c r="M73" s="107"/>
      <c r="N73">
        <v>40.200000000000003</v>
      </c>
      <c r="O73">
        <v>-70.8</v>
      </c>
    </row>
    <row r="74" spans="1:15" x14ac:dyDescent="0.25">
      <c r="A74" s="48"/>
      <c r="B74" s="32"/>
      <c r="C74" s="40"/>
      <c r="D74" s="40"/>
      <c r="E74" s="9"/>
      <c r="F74" s="25"/>
      <c r="G74" s="25"/>
      <c r="H74" s="25"/>
      <c r="I74" s="99"/>
      <c r="J74" s="8">
        <v>1.2999999999999999E-2</v>
      </c>
      <c r="K74" s="31">
        <f>AVERAGE(K72:K73)</f>
        <v>2.2248041329675124E-3</v>
      </c>
      <c r="L74" s="31">
        <f>K74</f>
        <v>2.2248041329675124E-3</v>
      </c>
      <c r="M74" s="101">
        <f>(K74/E72)*1000</f>
        <v>0.37080068882791872</v>
      </c>
    </row>
    <row r="75" spans="1:15" x14ac:dyDescent="0.25">
      <c r="A75" s="48"/>
      <c r="B75" s="32"/>
      <c r="C75" s="40"/>
      <c r="D75" s="40"/>
      <c r="E75" s="9"/>
      <c r="F75" s="9"/>
      <c r="G75" s="75"/>
      <c r="H75" s="9"/>
      <c r="I75" s="98"/>
      <c r="J75" s="8"/>
      <c r="K75" s="58"/>
      <c r="L75" s="8"/>
      <c r="M75" s="100"/>
    </row>
    <row r="76" spans="1:15" x14ac:dyDescent="0.25">
      <c r="A76" s="49" t="s">
        <v>31</v>
      </c>
      <c r="B76" s="47">
        <v>41893</v>
      </c>
      <c r="C76" s="50">
        <v>50</v>
      </c>
      <c r="D76" s="50">
        <v>1</v>
      </c>
      <c r="E76" s="9">
        <v>8.3000000000000007</v>
      </c>
      <c r="F76" s="9">
        <v>1.65</v>
      </c>
      <c r="G76" s="74">
        <v>5.2104034376750784E-2</v>
      </c>
      <c r="H76" s="9"/>
      <c r="I76" s="98"/>
      <c r="J76" s="9">
        <v>2.5999999999999999E-2</v>
      </c>
      <c r="K76" s="59">
        <v>2.1606425255157407E-3</v>
      </c>
      <c r="L76" s="8"/>
      <c r="M76" s="100"/>
      <c r="N76">
        <v>40.200000000000003</v>
      </c>
      <c r="O76">
        <v>-70.8</v>
      </c>
    </row>
    <row r="77" spans="1:15" x14ac:dyDescent="0.25">
      <c r="A77" s="49" t="s">
        <v>31</v>
      </c>
      <c r="B77" s="47">
        <v>41892</v>
      </c>
      <c r="C77" s="38">
        <v>50</v>
      </c>
      <c r="D77" s="40">
        <v>2</v>
      </c>
      <c r="E77" s="9"/>
      <c r="F77" s="42">
        <v>0.48</v>
      </c>
      <c r="G77" s="81"/>
      <c r="H77" s="42"/>
      <c r="I77" s="97"/>
      <c r="J77" s="42">
        <v>3.6999999999999998E-2</v>
      </c>
      <c r="K77" s="81"/>
      <c r="L77" s="81"/>
      <c r="M77" s="107"/>
      <c r="N77">
        <v>40.200000000000003</v>
      </c>
      <c r="O77">
        <v>-70.8</v>
      </c>
    </row>
    <row r="78" spans="1:15" x14ac:dyDescent="0.25">
      <c r="B78" s="8"/>
      <c r="C78" s="8"/>
      <c r="D78" s="8"/>
      <c r="E78" s="9"/>
      <c r="F78" s="24">
        <f>AVERAGE(F76:F77)</f>
        <v>1.0649999999999999</v>
      </c>
      <c r="G78" s="24">
        <f>G76</f>
        <v>5.2104034376750784E-2</v>
      </c>
      <c r="H78" s="24">
        <f>SUM(F78+G78)</f>
        <v>1.1171040343767507</v>
      </c>
      <c r="I78" s="88">
        <f>G78/E76</f>
        <v>6.277594503222985E-3</v>
      </c>
      <c r="J78" s="31">
        <f>AVERAGE(J76:J77)</f>
        <v>3.15E-2</v>
      </c>
      <c r="K78" s="67">
        <f>K76</f>
        <v>2.1606425255157407E-3</v>
      </c>
      <c r="L78" s="31">
        <f>J78+K78</f>
        <v>3.366064252551574E-2</v>
      </c>
      <c r="M78" s="101">
        <f>(K78/E76)*1000</f>
        <v>0.26031837656816154</v>
      </c>
    </row>
    <row r="79" spans="1:15" x14ac:dyDescent="0.25">
      <c r="B79" s="8"/>
      <c r="C79" s="8"/>
      <c r="D79" s="8"/>
      <c r="E79" s="9"/>
      <c r="F79" s="8"/>
      <c r="G79" s="8"/>
      <c r="H79" s="8"/>
      <c r="I79" s="100"/>
      <c r="J79" s="8"/>
      <c r="K79" s="8"/>
      <c r="L79" s="8"/>
      <c r="M79" s="100"/>
    </row>
    <row r="80" spans="1:15" x14ac:dyDescent="0.25">
      <c r="B80" s="8"/>
      <c r="C80" s="8"/>
      <c r="D80" s="8"/>
      <c r="E80" s="9"/>
      <c r="F80" s="8"/>
      <c r="G80" s="8"/>
      <c r="H80" s="8"/>
      <c r="I80" s="100"/>
      <c r="J80" s="8"/>
      <c r="K80" s="8"/>
      <c r="L80" s="8"/>
      <c r="M80" s="100"/>
    </row>
    <row r="81" spans="2:13" x14ac:dyDescent="0.25">
      <c r="B81" s="8"/>
      <c r="C81" s="8"/>
      <c r="D81" s="8"/>
      <c r="E81" s="9"/>
      <c r="F81" s="8"/>
      <c r="G81" s="8"/>
      <c r="H81" s="8"/>
      <c r="I81" s="100"/>
      <c r="J81" s="8"/>
      <c r="K81" s="8"/>
      <c r="L81" s="8"/>
      <c r="M81" s="100"/>
    </row>
    <row r="82" spans="2:13" x14ac:dyDescent="0.25">
      <c r="B82" s="8"/>
      <c r="C82" s="8"/>
      <c r="D82" s="8"/>
      <c r="E82" s="9"/>
      <c r="F82" s="8"/>
      <c r="G82" s="8"/>
      <c r="H82" s="8"/>
      <c r="I82" s="100"/>
      <c r="J82" s="8"/>
      <c r="K82" s="8"/>
      <c r="L82" s="8"/>
      <c r="M82" s="100"/>
    </row>
    <row r="83" spans="2:13" x14ac:dyDescent="0.25">
      <c r="B83" s="8"/>
      <c r="C83" s="8"/>
      <c r="D83" s="8"/>
      <c r="E83" s="9"/>
      <c r="F83" s="8"/>
      <c r="G83" s="8"/>
      <c r="J83" s="8"/>
      <c r="K83" s="8"/>
      <c r="L83" s="8"/>
      <c r="M83" s="100"/>
    </row>
    <row r="84" spans="2:13" x14ac:dyDescent="0.25">
      <c r="B84" s="8"/>
      <c r="C84" s="8"/>
      <c r="D84" s="8"/>
      <c r="E84" s="9"/>
      <c r="F84" s="8"/>
      <c r="G84" s="8"/>
      <c r="J84" s="8"/>
      <c r="K84" s="8"/>
      <c r="L84" s="8"/>
      <c r="M84" s="100"/>
    </row>
    <row r="85" spans="2:13" x14ac:dyDescent="0.25">
      <c r="B85" s="8"/>
      <c r="C85" s="8"/>
      <c r="D85" s="8"/>
      <c r="E85" s="9"/>
      <c r="F85" s="8"/>
      <c r="G85" s="8"/>
      <c r="J85" s="8"/>
      <c r="K85" s="8"/>
      <c r="L85" s="8"/>
      <c r="M85" s="100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publication</vt:lpstr>
      <vt:lpstr>original</vt:lpstr>
      <vt:lpstr>modified_als</vt:lpstr>
    </vt:vector>
  </TitlesOfParts>
  <Company>University of Connecticut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PBalcom</dc:creator>
  <cp:lastModifiedBy>Anne Sørensen</cp:lastModifiedBy>
  <dcterms:created xsi:type="dcterms:W3CDTF">2016-03-21T19:29:10Z</dcterms:created>
  <dcterms:modified xsi:type="dcterms:W3CDTF">2026-09-14T18:37:27Z</dcterms:modified>
</cp:coreProperties>
</file>