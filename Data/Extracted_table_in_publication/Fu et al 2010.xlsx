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8_{763AE864-F74E-47F8-9E3A-7DD142B9B8E7}" xr6:coauthVersionLast="47" xr6:coauthVersionMax="47" xr10:uidLastSave="{00000000-0000-0000-0000-000000000000}"/>
  <bookViews>
    <workbookView xWindow="1395" yWindow="105" windowWidth="15735" windowHeight="15030" xr2:uid="{266C46E7-C281-47C9-9941-58ECAAB2CB0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8" i="1"/>
  <c r="Q37" i="1"/>
</calcChain>
</file>

<file path=xl/sharedStrings.xml><?xml version="1.0" encoding="utf-8"?>
<sst xmlns="http://schemas.openxmlformats.org/spreadsheetml/2006/main" count="50" uniqueCount="50">
  <si>
    <t>Site</t>
  </si>
  <si>
    <t>and Local Time)</t>
  </si>
  <si>
    <t>pM</t>
  </si>
  <si>
    <t>2007/8/13 0923</t>
  </si>
  <si>
    <t>2007/8/18 0200</t>
  </si>
  <si>
    <t>2007/8/18 0900</t>
  </si>
  <si>
    <t>2007/8/18 1845</t>
  </si>
  <si>
    <t>2007/8/18 2114</t>
  </si>
  <si>
    <t>2007/8/18 2344</t>
  </si>
  <si>
    <t>2007/8/19 0313</t>
  </si>
  <si>
    <t>2007/8/19 1200</t>
  </si>
  <si>
    <t>2007/8/19 1550</t>
  </si>
  <si>
    <t>2007/8/19 2201</t>
  </si>
  <si>
    <t>2007/8/20 0131</t>
  </si>
  <si>
    <t>2007/8/20 1638</t>
  </si>
  <si>
    <t>2007/8/20 2132</t>
  </si>
  <si>
    <t>2007/8/21 0806</t>
  </si>
  <si>
    <t>2007/8/21 1048</t>
  </si>
  <si>
    <t>2007/8/21 1819</t>
  </si>
  <si>
    <t>2007/8/21 0109</t>
  </si>
  <si>
    <t>2007/8/22 0632</t>
  </si>
  <si>
    <t>2007/8/22 1545</t>
  </si>
  <si>
    <t>2007/8/23 0103</t>
  </si>
  <si>
    <t>2007/8/23 2150</t>
  </si>
  <si>
    <t>2007/8/24 1530</t>
  </si>
  <si>
    <t>2007/8/24 2203</t>
  </si>
  <si>
    <t>2007/8/25 0820</t>
  </si>
  <si>
    <t>2007/8/25 1132</t>
  </si>
  <si>
    <t>2007/8/25 1821</t>
  </si>
  <si>
    <t>2007/8/26 0034</t>
  </si>
  <si>
    <t>2007/8/26 1000</t>
  </si>
  <si>
    <t>2007/8/26 1825</t>
  </si>
  <si>
    <t>2007/8/26 2038</t>
  </si>
  <si>
    <t>2007/8/27 0724</t>
  </si>
  <si>
    <t>Average</t>
  </si>
  <si>
    <t>stdev</t>
  </si>
  <si>
    <t>LONGITUDE</t>
  </si>
  <si>
    <t>LATITUDE</t>
  </si>
  <si>
    <t>YEAR</t>
  </si>
  <si>
    <t>MONTH</t>
  </si>
  <si>
    <t>TEMPERATURE_C</t>
  </si>
  <si>
    <t>Wind speed (m s−1)</t>
  </si>
  <si>
    <t>Saturation (%)</t>
  </si>
  <si>
    <t>flux (ng m−2  h−1)</t>
  </si>
  <si>
    <t>THG_ngL</t>
  </si>
  <si>
    <t>MEHG_ngL</t>
  </si>
  <si>
    <t>DGM_pgL</t>
  </si>
  <si>
    <t>TGM_ngm3</t>
  </si>
  <si>
    <t>DEPTH</t>
  </si>
  <si>
    <t>Publication: https://agupubs.onlinelibrary.wiley.com/doi/full/10.1029/2009JD012958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</si>
</sst>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2FD7-C297-40DF-B7E6-B59ADE5A70F9}">
  <dimension ref="A1:Q38"/>
  <sheetViews>
    <sheetView tabSelected="1" workbookViewId="0">
      <selection activeCell="A2" sqref="A2"/>
    </sheetView>
  </sheetViews>
  <sheetFormatPr defaultColWidth="11.5703125" defaultRowHeight="15" x14ac:dyDescent="0.25"/>
  <sheetData>
    <row r="1" spans="1:17" x14ac:dyDescent="0.25">
      <c r="A1" t="s">
        <v>49</v>
      </c>
    </row>
    <row r="3" spans="1:17" x14ac:dyDescent="0.25">
      <c r="A3" t="s">
        <v>0</v>
      </c>
      <c r="B3" t="s">
        <v>36</v>
      </c>
      <c r="C3" t="s">
        <v>37</v>
      </c>
      <c r="D3" t="s">
        <v>1</v>
      </c>
      <c r="E3" t="s">
        <v>38</v>
      </c>
      <c r="F3" t="s">
        <v>39</v>
      </c>
      <c r="G3" t="s">
        <v>48</v>
      </c>
      <c r="H3" t="s">
        <v>44</v>
      </c>
      <c r="I3" s="1" t="s">
        <v>45</v>
      </c>
      <c r="J3" t="s">
        <v>46</v>
      </c>
      <c r="K3" t="s">
        <v>47</v>
      </c>
      <c r="L3" t="s">
        <v>40</v>
      </c>
      <c r="M3" t="s">
        <v>41</v>
      </c>
      <c r="N3" t="s">
        <v>42</v>
      </c>
      <c r="O3" t="s">
        <v>43</v>
      </c>
      <c r="Q3" t="s">
        <v>2</v>
      </c>
    </row>
    <row r="4" spans="1:17" x14ac:dyDescent="0.25">
      <c r="A4">
        <v>4</v>
      </c>
      <c r="B4">
        <v>114.9</v>
      </c>
      <c r="C4">
        <v>20.059999999999999</v>
      </c>
      <c r="D4" t="s">
        <v>3</v>
      </c>
      <c r="E4">
        <v>2007</v>
      </c>
      <c r="F4">
        <v>8</v>
      </c>
      <c r="G4">
        <v>0.5</v>
      </c>
      <c r="H4">
        <v>1.24</v>
      </c>
      <c r="I4" s="1">
        <v>0.187</v>
      </c>
      <c r="Q4" s="2">
        <f>I4/200.59*1000</f>
        <v>0.9322498629044319</v>
      </c>
    </row>
    <row r="5" spans="1:17" x14ac:dyDescent="0.25">
      <c r="A5">
        <v>5</v>
      </c>
      <c r="B5">
        <v>115.1</v>
      </c>
      <c r="C5">
        <v>19.899999999999999</v>
      </c>
      <c r="D5" t="s">
        <v>4</v>
      </c>
      <c r="E5">
        <v>2007</v>
      </c>
      <c r="F5">
        <v>8</v>
      </c>
      <c r="G5">
        <v>0.5</v>
      </c>
      <c r="H5">
        <v>1.58</v>
      </c>
      <c r="I5" s="1">
        <v>8.2000000000000003E-2</v>
      </c>
      <c r="J5">
        <v>58.6</v>
      </c>
      <c r="K5">
        <v>4.08</v>
      </c>
      <c r="L5">
        <v>29</v>
      </c>
      <c r="M5">
        <v>5.2</v>
      </c>
      <c r="N5">
        <v>409</v>
      </c>
      <c r="O5">
        <v>4.4000000000000004</v>
      </c>
      <c r="Q5" s="2">
        <f t="shared" ref="Q5:Q34" si="0">I5/200.59*1000</f>
        <v>0.40879405753028569</v>
      </c>
    </row>
    <row r="6" spans="1:17" x14ac:dyDescent="0.25">
      <c r="A6">
        <v>6</v>
      </c>
      <c r="B6">
        <v>116</v>
      </c>
      <c r="C6">
        <v>19</v>
      </c>
      <c r="D6" t="s">
        <v>5</v>
      </c>
      <c r="E6">
        <v>2007</v>
      </c>
      <c r="F6">
        <v>8</v>
      </c>
      <c r="G6">
        <v>0.5</v>
      </c>
      <c r="H6">
        <v>1.01</v>
      </c>
      <c r="I6" s="1">
        <v>0.15</v>
      </c>
      <c r="J6">
        <v>22.4</v>
      </c>
      <c r="K6">
        <v>2.11</v>
      </c>
      <c r="L6">
        <v>29</v>
      </c>
      <c r="M6">
        <v>14.1</v>
      </c>
      <c r="N6">
        <v>276</v>
      </c>
      <c r="O6">
        <v>9.6</v>
      </c>
      <c r="Q6" s="2">
        <f t="shared" si="0"/>
        <v>0.74779400767735182</v>
      </c>
    </row>
    <row r="7" spans="1:17" x14ac:dyDescent="0.25">
      <c r="A7">
        <v>7</v>
      </c>
      <c r="B7">
        <v>113.91</v>
      </c>
      <c r="C7">
        <v>19</v>
      </c>
      <c r="D7" t="s">
        <v>6</v>
      </c>
      <c r="E7">
        <v>2007</v>
      </c>
      <c r="F7">
        <v>8</v>
      </c>
      <c r="G7">
        <v>0.5</v>
      </c>
      <c r="H7">
        <v>0.95</v>
      </c>
      <c r="I7" s="1">
        <v>0.16300000000000001</v>
      </c>
      <c r="J7">
        <v>49.4</v>
      </c>
      <c r="K7">
        <v>2.0099999999999998</v>
      </c>
      <c r="L7">
        <v>29.5</v>
      </c>
      <c r="M7">
        <v>7.7</v>
      </c>
      <c r="N7">
        <v>782</v>
      </c>
      <c r="O7">
        <v>8.3000000000000007</v>
      </c>
      <c r="Q7" s="2">
        <f t="shared" si="0"/>
        <v>0.81260282167605569</v>
      </c>
    </row>
    <row r="8" spans="1:17" x14ac:dyDescent="0.25">
      <c r="A8">
        <v>8</v>
      </c>
      <c r="B8">
        <v>113.5</v>
      </c>
      <c r="C8">
        <v>19</v>
      </c>
      <c r="D8" t="s">
        <v>7</v>
      </c>
      <c r="E8">
        <v>2007</v>
      </c>
      <c r="F8">
        <v>8</v>
      </c>
      <c r="G8">
        <v>0.5</v>
      </c>
      <c r="H8">
        <v>2.08</v>
      </c>
      <c r="I8" s="1">
        <v>0.13400000000000001</v>
      </c>
      <c r="J8">
        <v>38.299999999999997</v>
      </c>
      <c r="K8">
        <v>1.66</v>
      </c>
      <c r="L8">
        <v>29.4</v>
      </c>
      <c r="M8">
        <v>6.8</v>
      </c>
      <c r="N8">
        <v>726</v>
      </c>
      <c r="O8">
        <v>5.0999999999999996</v>
      </c>
      <c r="Q8" s="2">
        <f t="shared" si="0"/>
        <v>0.66802931352510098</v>
      </c>
    </row>
    <row r="9" spans="1:17" x14ac:dyDescent="0.25">
      <c r="A9">
        <v>9</v>
      </c>
      <c r="B9">
        <v>113.07</v>
      </c>
      <c r="C9">
        <v>19</v>
      </c>
      <c r="D9" t="s">
        <v>8</v>
      </c>
      <c r="E9">
        <v>2007</v>
      </c>
      <c r="F9">
        <v>8</v>
      </c>
      <c r="G9">
        <v>0.5</v>
      </c>
      <c r="H9">
        <v>1.33</v>
      </c>
      <c r="I9" s="1">
        <v>0.13400000000000001</v>
      </c>
      <c r="J9">
        <v>33.299999999999997</v>
      </c>
      <c r="K9">
        <v>1.63</v>
      </c>
      <c r="L9">
        <v>29.4</v>
      </c>
      <c r="M9">
        <v>7.3</v>
      </c>
      <c r="N9">
        <v>632</v>
      </c>
      <c r="O9">
        <v>4.9000000000000004</v>
      </c>
      <c r="Q9" s="2">
        <f t="shared" si="0"/>
        <v>0.66802931352510098</v>
      </c>
    </row>
    <row r="10" spans="1:17" x14ac:dyDescent="0.25">
      <c r="A10">
        <v>10</v>
      </c>
      <c r="B10">
        <v>112.41</v>
      </c>
      <c r="C10">
        <v>19</v>
      </c>
      <c r="D10" t="s">
        <v>9</v>
      </c>
      <c r="E10">
        <v>2007</v>
      </c>
      <c r="F10">
        <v>8</v>
      </c>
      <c r="G10">
        <v>0.5</v>
      </c>
      <c r="H10">
        <v>1.34</v>
      </c>
      <c r="I10" s="1">
        <v>0.187</v>
      </c>
      <c r="J10">
        <v>37.4</v>
      </c>
      <c r="K10">
        <v>2.06</v>
      </c>
      <c r="L10">
        <v>29.1</v>
      </c>
      <c r="M10">
        <v>9.4</v>
      </c>
      <c r="N10">
        <v>545</v>
      </c>
      <c r="O10">
        <v>8.6</v>
      </c>
      <c r="Q10" s="2">
        <f t="shared" si="0"/>
        <v>0.9322498629044319</v>
      </c>
    </row>
    <row r="11" spans="1:17" x14ac:dyDescent="0.25">
      <c r="A11">
        <v>13</v>
      </c>
      <c r="B11">
        <v>111.1</v>
      </c>
      <c r="C11">
        <v>19</v>
      </c>
      <c r="D11" t="s">
        <v>10</v>
      </c>
      <c r="E11">
        <v>2007</v>
      </c>
      <c r="F11">
        <v>8</v>
      </c>
      <c r="G11">
        <v>0.5</v>
      </c>
      <c r="H11">
        <v>0.98</v>
      </c>
      <c r="I11" s="1">
        <v>0.154</v>
      </c>
      <c r="J11">
        <v>42.7</v>
      </c>
      <c r="K11">
        <v>4.71</v>
      </c>
      <c r="L11">
        <v>27.8</v>
      </c>
      <c r="M11">
        <v>5.3</v>
      </c>
      <c r="N11">
        <v>211</v>
      </c>
      <c r="O11">
        <v>2.7</v>
      </c>
      <c r="Q11" s="2">
        <f t="shared" si="0"/>
        <v>0.76773518121541451</v>
      </c>
    </row>
    <row r="12" spans="1:17" x14ac:dyDescent="0.25">
      <c r="A12">
        <v>15</v>
      </c>
      <c r="B12">
        <v>110.7</v>
      </c>
      <c r="C12">
        <v>19</v>
      </c>
      <c r="D12" t="s">
        <v>11</v>
      </c>
      <c r="E12">
        <v>2007</v>
      </c>
      <c r="F12">
        <v>8</v>
      </c>
      <c r="G12">
        <v>0.5</v>
      </c>
      <c r="H12">
        <v>2.33</v>
      </c>
      <c r="I12" s="1">
        <v>0.11700000000000001</v>
      </c>
      <c r="J12">
        <v>80.099999999999994</v>
      </c>
      <c r="K12">
        <v>3.88</v>
      </c>
      <c r="L12">
        <v>28.2</v>
      </c>
      <c r="M12">
        <v>3.6</v>
      </c>
      <c r="N12">
        <v>616</v>
      </c>
      <c r="O12">
        <v>3.3</v>
      </c>
      <c r="Q12" s="2">
        <f t="shared" si="0"/>
        <v>0.58327932598833443</v>
      </c>
    </row>
    <row r="13" spans="1:17" x14ac:dyDescent="0.25">
      <c r="A13">
        <v>16</v>
      </c>
      <c r="B13">
        <v>110</v>
      </c>
      <c r="C13">
        <v>18</v>
      </c>
      <c r="D13" t="s">
        <v>12</v>
      </c>
      <c r="E13">
        <v>2007</v>
      </c>
      <c r="F13">
        <v>8</v>
      </c>
      <c r="G13">
        <v>0.5</v>
      </c>
      <c r="H13">
        <v>1.25</v>
      </c>
      <c r="I13" s="1">
        <v>0.11899999999999999</v>
      </c>
      <c r="J13">
        <v>77.8</v>
      </c>
      <c r="K13">
        <v>2.2599999999999998</v>
      </c>
      <c r="L13">
        <v>28.7</v>
      </c>
      <c r="M13">
        <v>8.3000000000000007</v>
      </c>
      <c r="N13">
        <v>1110</v>
      </c>
      <c r="O13">
        <v>15.3</v>
      </c>
      <c r="Q13" s="2">
        <f t="shared" si="0"/>
        <v>0.59324991275736572</v>
      </c>
    </row>
    <row r="14" spans="1:17" x14ac:dyDescent="0.25">
      <c r="A14">
        <v>17</v>
      </c>
      <c r="B14">
        <v>110.5</v>
      </c>
      <c r="C14">
        <v>18</v>
      </c>
      <c r="D14" t="s">
        <v>13</v>
      </c>
      <c r="E14">
        <v>2007</v>
      </c>
      <c r="F14">
        <v>8</v>
      </c>
      <c r="G14">
        <v>0.5</v>
      </c>
      <c r="H14">
        <v>1.27</v>
      </c>
      <c r="I14" s="1">
        <v>0.10100000000000001</v>
      </c>
      <c r="J14">
        <v>77.2</v>
      </c>
      <c r="K14">
        <v>1.94</v>
      </c>
      <c r="L14">
        <v>28.7</v>
      </c>
      <c r="M14">
        <v>7.6</v>
      </c>
      <c r="N14">
        <v>1299</v>
      </c>
      <c r="O14">
        <v>13.1</v>
      </c>
      <c r="Q14" s="2">
        <f t="shared" si="0"/>
        <v>0.50351463183608358</v>
      </c>
    </row>
    <row r="15" spans="1:17" x14ac:dyDescent="0.25">
      <c r="A15">
        <v>18</v>
      </c>
      <c r="B15">
        <v>110.35</v>
      </c>
      <c r="C15">
        <v>17</v>
      </c>
      <c r="D15" t="s">
        <v>14</v>
      </c>
      <c r="E15">
        <v>2007</v>
      </c>
      <c r="F15">
        <v>8</v>
      </c>
      <c r="G15">
        <v>0.5</v>
      </c>
      <c r="H15">
        <v>1.05</v>
      </c>
      <c r="I15" s="1">
        <v>0.17199999999999999</v>
      </c>
      <c r="J15">
        <v>32.200000000000003</v>
      </c>
      <c r="K15">
        <v>3.26</v>
      </c>
      <c r="L15">
        <v>29.7</v>
      </c>
      <c r="M15">
        <v>3.8</v>
      </c>
      <c r="N15">
        <v>256</v>
      </c>
      <c r="O15">
        <v>1.2</v>
      </c>
      <c r="Q15" s="2">
        <f t="shared" si="0"/>
        <v>0.85747046213669664</v>
      </c>
    </row>
    <row r="16" spans="1:17" x14ac:dyDescent="0.25">
      <c r="A16">
        <v>19</v>
      </c>
      <c r="B16">
        <v>111</v>
      </c>
      <c r="C16">
        <v>18</v>
      </c>
      <c r="D16" t="s">
        <v>15</v>
      </c>
      <c r="E16">
        <v>2007</v>
      </c>
      <c r="F16">
        <v>8</v>
      </c>
      <c r="G16">
        <v>0.5</v>
      </c>
      <c r="H16">
        <v>1.1599999999999999</v>
      </c>
      <c r="I16" s="1">
        <v>8.8999999999999996E-2</v>
      </c>
      <c r="J16">
        <v>27.3</v>
      </c>
      <c r="K16">
        <v>1.55</v>
      </c>
      <c r="L16">
        <v>28.6</v>
      </c>
      <c r="M16">
        <v>5.7</v>
      </c>
      <c r="N16">
        <v>5.18</v>
      </c>
      <c r="O16">
        <v>2.5</v>
      </c>
      <c r="Q16" s="2">
        <f t="shared" si="0"/>
        <v>0.44369111122189536</v>
      </c>
    </row>
    <row r="17" spans="1:17" x14ac:dyDescent="0.25">
      <c r="A17">
        <v>20</v>
      </c>
      <c r="B17">
        <v>111.51</v>
      </c>
      <c r="C17">
        <v>18</v>
      </c>
      <c r="D17" t="s">
        <v>16</v>
      </c>
      <c r="E17">
        <v>2007</v>
      </c>
      <c r="F17">
        <v>8</v>
      </c>
      <c r="G17">
        <v>0.5</v>
      </c>
      <c r="H17">
        <v>1.51</v>
      </c>
      <c r="I17" s="1">
        <v>0.114</v>
      </c>
      <c r="J17">
        <v>31.4</v>
      </c>
      <c r="K17">
        <v>1.57</v>
      </c>
      <c r="L17">
        <v>29.4</v>
      </c>
      <c r="M17">
        <v>7.5</v>
      </c>
      <c r="N17">
        <v>616</v>
      </c>
      <c r="O17">
        <v>4.9000000000000004</v>
      </c>
      <c r="Q17" s="2">
        <f t="shared" si="0"/>
        <v>0.56832344583478744</v>
      </c>
    </row>
    <row r="18" spans="1:17" x14ac:dyDescent="0.25">
      <c r="A18">
        <v>21</v>
      </c>
      <c r="B18">
        <v>112</v>
      </c>
      <c r="C18">
        <v>18</v>
      </c>
      <c r="D18" t="s">
        <v>17</v>
      </c>
      <c r="E18">
        <v>2007</v>
      </c>
      <c r="F18">
        <v>8</v>
      </c>
      <c r="G18">
        <v>0.5</v>
      </c>
      <c r="H18">
        <v>1.21</v>
      </c>
      <c r="I18" s="1">
        <v>0.127</v>
      </c>
      <c r="J18">
        <v>24.8</v>
      </c>
      <c r="K18">
        <v>1.82</v>
      </c>
      <c r="L18">
        <v>29</v>
      </c>
      <c r="M18">
        <v>8.8000000000000007</v>
      </c>
      <c r="N18">
        <v>383</v>
      </c>
      <c r="O18">
        <v>4.7</v>
      </c>
      <c r="Q18" s="2">
        <f t="shared" si="0"/>
        <v>0.6331322598334912</v>
      </c>
    </row>
    <row r="19" spans="1:17" x14ac:dyDescent="0.25">
      <c r="A19">
        <v>22</v>
      </c>
      <c r="B19">
        <v>113</v>
      </c>
      <c r="C19">
        <v>18</v>
      </c>
      <c r="D19" t="s">
        <v>18</v>
      </c>
      <c r="E19">
        <v>2007</v>
      </c>
      <c r="F19">
        <v>8</v>
      </c>
      <c r="G19">
        <v>0.5</v>
      </c>
      <c r="H19">
        <v>1.1200000000000001</v>
      </c>
      <c r="I19" s="1">
        <v>5.7000000000000002E-2</v>
      </c>
      <c r="J19">
        <v>32.200000000000003</v>
      </c>
      <c r="K19">
        <v>1.75</v>
      </c>
      <c r="L19">
        <v>29.5</v>
      </c>
      <c r="M19">
        <v>9.1</v>
      </c>
      <c r="N19">
        <v>561</v>
      </c>
      <c r="O19">
        <v>7.1</v>
      </c>
      <c r="Q19" s="2">
        <f t="shared" si="0"/>
        <v>0.28416172291739372</v>
      </c>
    </row>
    <row r="20" spans="1:17" x14ac:dyDescent="0.25">
      <c r="A20">
        <v>23</v>
      </c>
      <c r="B20">
        <v>114</v>
      </c>
      <c r="C20">
        <v>18</v>
      </c>
      <c r="D20" t="s">
        <v>19</v>
      </c>
      <c r="E20">
        <v>2007</v>
      </c>
      <c r="F20">
        <v>8</v>
      </c>
      <c r="G20">
        <v>0.5</v>
      </c>
      <c r="H20">
        <v>1.04</v>
      </c>
      <c r="I20" s="1">
        <v>9.6000000000000002E-2</v>
      </c>
      <c r="J20">
        <v>28</v>
      </c>
      <c r="K20">
        <v>1.46</v>
      </c>
      <c r="L20">
        <v>28.9</v>
      </c>
      <c r="M20">
        <v>9.6</v>
      </c>
      <c r="N20">
        <v>578</v>
      </c>
      <c r="O20">
        <v>6.7</v>
      </c>
      <c r="Q20" s="2">
        <f t="shared" si="0"/>
        <v>0.47858816491350514</v>
      </c>
    </row>
    <row r="21" spans="1:17" x14ac:dyDescent="0.25">
      <c r="A21">
        <v>24</v>
      </c>
      <c r="B21">
        <v>115</v>
      </c>
      <c r="C21">
        <v>18</v>
      </c>
      <c r="D21" t="s">
        <v>20</v>
      </c>
      <c r="E21">
        <v>2007</v>
      </c>
      <c r="F21">
        <v>8</v>
      </c>
      <c r="G21">
        <v>0.5</v>
      </c>
      <c r="H21">
        <v>0.94</v>
      </c>
      <c r="I21" s="1">
        <v>9.8000000000000004E-2</v>
      </c>
      <c r="J21">
        <v>46.6</v>
      </c>
      <c r="K21">
        <v>1.43</v>
      </c>
      <c r="L21">
        <v>29.2</v>
      </c>
      <c r="M21">
        <v>8.8000000000000007</v>
      </c>
      <c r="N21">
        <v>1061</v>
      </c>
      <c r="O21">
        <v>10.3</v>
      </c>
      <c r="Q21" s="2">
        <f t="shared" si="0"/>
        <v>0.4885587516825366</v>
      </c>
    </row>
    <row r="22" spans="1:17" x14ac:dyDescent="0.25">
      <c r="A22">
        <v>25</v>
      </c>
      <c r="B22">
        <v>116</v>
      </c>
      <c r="C22">
        <v>18</v>
      </c>
      <c r="D22" t="s">
        <v>21</v>
      </c>
      <c r="E22">
        <v>2007</v>
      </c>
      <c r="F22">
        <v>8</v>
      </c>
      <c r="G22">
        <v>0.5</v>
      </c>
      <c r="H22">
        <v>0.82</v>
      </c>
      <c r="I22" s="1">
        <v>6.3E-2</v>
      </c>
      <c r="J22">
        <v>26.2</v>
      </c>
      <c r="K22">
        <v>1.69</v>
      </c>
      <c r="L22">
        <v>29.3</v>
      </c>
      <c r="M22">
        <v>6.3</v>
      </c>
      <c r="N22">
        <v>454</v>
      </c>
      <c r="O22">
        <v>2.8</v>
      </c>
      <c r="Q22" s="2">
        <f t="shared" si="0"/>
        <v>0.31407348322448775</v>
      </c>
    </row>
    <row r="23" spans="1:17" x14ac:dyDescent="0.25">
      <c r="A23">
        <v>26</v>
      </c>
      <c r="B23">
        <v>117</v>
      </c>
      <c r="C23">
        <v>18</v>
      </c>
      <c r="D23" t="s">
        <v>22</v>
      </c>
      <c r="E23">
        <v>2007</v>
      </c>
      <c r="F23">
        <v>8</v>
      </c>
      <c r="G23">
        <v>0.5</v>
      </c>
      <c r="H23">
        <v>1.0900000000000001</v>
      </c>
      <c r="I23" s="1">
        <v>8.6999999999999994E-2</v>
      </c>
      <c r="J23">
        <v>32.5</v>
      </c>
      <c r="K23">
        <v>1.35</v>
      </c>
      <c r="L23">
        <v>29</v>
      </c>
      <c r="M23">
        <v>3.3</v>
      </c>
      <c r="N23">
        <v>753</v>
      </c>
      <c r="O23">
        <v>1.2</v>
      </c>
      <c r="Q23" s="2">
        <f t="shared" si="0"/>
        <v>0.43372052445286402</v>
      </c>
    </row>
    <row r="24" spans="1:17" x14ac:dyDescent="0.25">
      <c r="A24">
        <v>28</v>
      </c>
      <c r="B24">
        <v>119</v>
      </c>
      <c r="C24">
        <v>18</v>
      </c>
      <c r="D24" t="s">
        <v>23</v>
      </c>
      <c r="E24">
        <v>2007</v>
      </c>
      <c r="F24">
        <v>8</v>
      </c>
      <c r="G24">
        <v>0.5</v>
      </c>
      <c r="H24">
        <v>1.32</v>
      </c>
      <c r="I24" s="1">
        <v>0.112</v>
      </c>
      <c r="J24">
        <v>36.700000000000003</v>
      </c>
      <c r="K24">
        <v>1.41</v>
      </c>
      <c r="L24">
        <v>29.4</v>
      </c>
      <c r="M24">
        <v>2.4</v>
      </c>
      <c r="N24">
        <v>832</v>
      </c>
      <c r="O24">
        <v>0.8</v>
      </c>
      <c r="Q24" s="2">
        <f t="shared" si="0"/>
        <v>0.55835285906575605</v>
      </c>
    </row>
    <row r="25" spans="1:17" x14ac:dyDescent="0.25">
      <c r="A25">
        <v>30</v>
      </c>
      <c r="B25">
        <v>120</v>
      </c>
      <c r="C25">
        <v>19</v>
      </c>
      <c r="D25" t="s">
        <v>24</v>
      </c>
      <c r="E25">
        <v>2007</v>
      </c>
      <c r="F25">
        <v>8</v>
      </c>
      <c r="G25">
        <v>0.5</v>
      </c>
      <c r="H25">
        <v>1.62</v>
      </c>
      <c r="I25" s="1">
        <v>0.127</v>
      </c>
      <c r="J25">
        <v>23.8</v>
      </c>
      <c r="K25">
        <v>1.5</v>
      </c>
      <c r="L25">
        <v>29.5</v>
      </c>
      <c r="M25">
        <v>7.7</v>
      </c>
      <c r="N25">
        <v>470</v>
      </c>
      <c r="O25">
        <v>3.7</v>
      </c>
      <c r="Q25" s="2">
        <f t="shared" si="0"/>
        <v>0.6331322598334912</v>
      </c>
    </row>
    <row r="26" spans="1:17" x14ac:dyDescent="0.25">
      <c r="A26">
        <v>31</v>
      </c>
      <c r="B26">
        <v>120</v>
      </c>
      <c r="C26">
        <v>19.5</v>
      </c>
      <c r="D26" t="s">
        <v>25</v>
      </c>
      <c r="E26">
        <v>2007</v>
      </c>
      <c r="F26">
        <v>8</v>
      </c>
      <c r="G26">
        <v>0.5</v>
      </c>
      <c r="H26">
        <v>1.04</v>
      </c>
      <c r="I26" s="1">
        <v>4.4999999999999998E-2</v>
      </c>
      <c r="J26">
        <v>28.1</v>
      </c>
      <c r="K26">
        <v>1.62</v>
      </c>
      <c r="L26">
        <v>29.1</v>
      </c>
      <c r="M26">
        <v>8.9</v>
      </c>
      <c r="N26">
        <v>516</v>
      </c>
      <c r="O26">
        <v>5.8</v>
      </c>
      <c r="Q26" s="2">
        <f t="shared" si="0"/>
        <v>0.22433820230320553</v>
      </c>
    </row>
    <row r="27" spans="1:17" x14ac:dyDescent="0.25">
      <c r="A27">
        <v>32</v>
      </c>
      <c r="B27">
        <v>120</v>
      </c>
      <c r="C27">
        <v>20.5</v>
      </c>
      <c r="D27" t="s">
        <v>26</v>
      </c>
      <c r="E27">
        <v>2007</v>
      </c>
      <c r="F27">
        <v>8</v>
      </c>
      <c r="G27">
        <v>0.5</v>
      </c>
      <c r="H27">
        <v>0.88</v>
      </c>
      <c r="I27" s="1">
        <v>8.6999999999999994E-2</v>
      </c>
      <c r="J27">
        <v>22</v>
      </c>
      <c r="K27">
        <v>1.57</v>
      </c>
      <c r="L27">
        <v>29.4</v>
      </c>
      <c r="M27">
        <v>5.9</v>
      </c>
      <c r="N27">
        <v>402</v>
      </c>
      <c r="O27">
        <v>2</v>
      </c>
      <c r="Q27" s="2">
        <f t="shared" si="0"/>
        <v>0.43372052445286402</v>
      </c>
    </row>
    <row r="28" spans="1:17" x14ac:dyDescent="0.25">
      <c r="A28">
        <v>33</v>
      </c>
      <c r="B28">
        <v>120</v>
      </c>
      <c r="C28">
        <v>21</v>
      </c>
      <c r="D28" t="s">
        <v>27</v>
      </c>
      <c r="E28">
        <v>2007</v>
      </c>
      <c r="F28">
        <v>8</v>
      </c>
      <c r="G28">
        <v>0.5</v>
      </c>
      <c r="H28">
        <v>0.93</v>
      </c>
      <c r="I28" s="1">
        <v>4.7E-2</v>
      </c>
      <c r="J28">
        <v>28.1</v>
      </c>
      <c r="K28">
        <v>1.84</v>
      </c>
      <c r="L28">
        <v>29.2</v>
      </c>
      <c r="M28">
        <v>4.5</v>
      </c>
      <c r="N28">
        <v>444</v>
      </c>
      <c r="O28">
        <v>1.6</v>
      </c>
      <c r="Q28" s="2">
        <f t="shared" si="0"/>
        <v>0.2343087890722369</v>
      </c>
    </row>
    <row r="29" spans="1:17" x14ac:dyDescent="0.25">
      <c r="A29">
        <v>34</v>
      </c>
      <c r="B29">
        <v>120</v>
      </c>
      <c r="C29">
        <v>21.5</v>
      </c>
      <c r="D29" t="s">
        <v>28</v>
      </c>
      <c r="E29">
        <v>2007</v>
      </c>
      <c r="F29">
        <v>8</v>
      </c>
      <c r="G29">
        <v>0.5</v>
      </c>
      <c r="H29">
        <v>1.26</v>
      </c>
      <c r="I29" s="1">
        <v>5.5E-2</v>
      </c>
      <c r="J29">
        <v>38.9</v>
      </c>
      <c r="K29">
        <v>1.55</v>
      </c>
      <c r="L29">
        <v>29.4</v>
      </c>
      <c r="M29">
        <v>1</v>
      </c>
      <c r="N29">
        <v>799</v>
      </c>
      <c r="O29">
        <v>0.2</v>
      </c>
      <c r="Q29" s="2">
        <f t="shared" si="0"/>
        <v>0.27419113614836232</v>
      </c>
    </row>
    <row r="30" spans="1:17" x14ac:dyDescent="0.25">
      <c r="A30">
        <v>35</v>
      </c>
      <c r="B30">
        <v>119.5</v>
      </c>
      <c r="C30">
        <v>22</v>
      </c>
      <c r="D30" t="s">
        <v>29</v>
      </c>
      <c r="E30">
        <v>2007</v>
      </c>
      <c r="F30">
        <v>8</v>
      </c>
      <c r="G30">
        <v>0.5</v>
      </c>
      <c r="H30">
        <v>1.99</v>
      </c>
      <c r="I30" s="1">
        <v>0.13900000000000001</v>
      </c>
      <c r="J30">
        <v>29.9</v>
      </c>
      <c r="K30">
        <v>1.5</v>
      </c>
      <c r="L30">
        <v>29</v>
      </c>
      <c r="M30">
        <v>4.9000000000000004</v>
      </c>
      <c r="N30">
        <v>606</v>
      </c>
      <c r="O30">
        <v>2.1</v>
      </c>
      <c r="Q30" s="2">
        <f t="shared" si="0"/>
        <v>0.69295578044767947</v>
      </c>
    </row>
    <row r="31" spans="1:17" x14ac:dyDescent="0.25">
      <c r="A31">
        <v>36</v>
      </c>
      <c r="B31">
        <v>119</v>
      </c>
      <c r="C31">
        <v>22</v>
      </c>
      <c r="D31" t="s">
        <v>30</v>
      </c>
      <c r="E31">
        <v>2007</v>
      </c>
      <c r="F31">
        <v>8</v>
      </c>
      <c r="G31">
        <v>0.5</v>
      </c>
      <c r="H31">
        <v>0.96</v>
      </c>
      <c r="I31" s="1">
        <v>7.5999999999999998E-2</v>
      </c>
      <c r="J31">
        <v>29.5</v>
      </c>
      <c r="K31">
        <v>1.63</v>
      </c>
      <c r="L31">
        <v>28.9</v>
      </c>
      <c r="M31">
        <v>6.6</v>
      </c>
      <c r="N31">
        <v>540</v>
      </c>
      <c r="O31">
        <v>3.5</v>
      </c>
      <c r="Q31" s="2">
        <f t="shared" si="0"/>
        <v>0.37888229722319156</v>
      </c>
    </row>
    <row r="32" spans="1:17" x14ac:dyDescent="0.25">
      <c r="A32">
        <v>37</v>
      </c>
      <c r="B32">
        <v>118.75</v>
      </c>
      <c r="C32">
        <v>22.25</v>
      </c>
      <c r="D32" t="s">
        <v>31</v>
      </c>
      <c r="E32">
        <v>2007</v>
      </c>
      <c r="F32">
        <v>8</v>
      </c>
      <c r="G32">
        <v>0.5</v>
      </c>
      <c r="H32">
        <v>1.31</v>
      </c>
      <c r="I32" s="1">
        <v>0.19900000000000001</v>
      </c>
      <c r="J32">
        <v>22</v>
      </c>
      <c r="K32">
        <v>1.67</v>
      </c>
      <c r="L32">
        <v>28.7</v>
      </c>
      <c r="M32">
        <v>10.3</v>
      </c>
      <c r="N32">
        <v>363</v>
      </c>
      <c r="O32">
        <v>5.5</v>
      </c>
      <c r="Q32" s="2">
        <f t="shared" si="0"/>
        <v>0.99207338351862007</v>
      </c>
    </row>
    <row r="33" spans="1:17" x14ac:dyDescent="0.25">
      <c r="A33">
        <v>38</v>
      </c>
      <c r="B33">
        <v>118.5</v>
      </c>
      <c r="C33">
        <v>22.5</v>
      </c>
      <c r="D33" t="s">
        <v>32</v>
      </c>
      <c r="E33">
        <v>2007</v>
      </c>
      <c r="F33">
        <v>8</v>
      </c>
      <c r="G33">
        <v>0.5</v>
      </c>
      <c r="H33">
        <v>0.75</v>
      </c>
      <c r="I33" s="1">
        <v>8.3000000000000004E-2</v>
      </c>
      <c r="J33">
        <v>21.6</v>
      </c>
      <c r="K33">
        <v>1.54</v>
      </c>
      <c r="L33">
        <v>27.9</v>
      </c>
      <c r="M33">
        <v>9.1</v>
      </c>
      <c r="N33">
        <v>383</v>
      </c>
      <c r="O33">
        <v>4.3</v>
      </c>
      <c r="Q33" s="2">
        <f t="shared" si="0"/>
        <v>0.41377935091480139</v>
      </c>
    </row>
    <row r="34" spans="1:17" x14ac:dyDescent="0.25">
      <c r="A34">
        <v>40</v>
      </c>
      <c r="B34">
        <v>117.7</v>
      </c>
      <c r="C34">
        <v>23.3</v>
      </c>
      <c r="D34" t="s">
        <v>33</v>
      </c>
      <c r="E34">
        <v>2007</v>
      </c>
      <c r="F34">
        <v>8</v>
      </c>
      <c r="G34">
        <v>0.5</v>
      </c>
      <c r="H34">
        <v>1.1499999999999999</v>
      </c>
      <c r="I34" s="1">
        <v>0.217</v>
      </c>
      <c r="J34">
        <v>35.9</v>
      </c>
      <c r="K34">
        <v>1.58</v>
      </c>
      <c r="L34">
        <v>25.3</v>
      </c>
      <c r="M34">
        <v>4.0999999999999996</v>
      </c>
      <c r="N34">
        <v>630</v>
      </c>
      <c r="O34">
        <v>1.7</v>
      </c>
      <c r="Q34" s="2">
        <f t="shared" si="0"/>
        <v>1.0818086644399023</v>
      </c>
    </row>
    <row r="37" spans="1:17" x14ac:dyDescent="0.25">
      <c r="P37" t="s">
        <v>34</v>
      </c>
      <c r="Q37" s="2">
        <f>AVERAGE(Q4:Q34)</f>
        <v>0.58183198274766856</v>
      </c>
    </row>
    <row r="38" spans="1:17" x14ac:dyDescent="0.25">
      <c r="P38" t="s">
        <v>35</v>
      </c>
      <c r="Q38" s="2">
        <f>STDEV(Q4:Q34)</f>
        <v>0.22948309073645948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2024-08-09T12:56:20Z</dcterms:created>
  <dcterms:modified xsi:type="dcterms:W3CDTF">2026-09-07T09:30:16Z</dcterms:modified>
</cp:coreProperties>
</file>